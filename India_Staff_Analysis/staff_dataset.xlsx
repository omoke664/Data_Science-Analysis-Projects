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oke\OneDrive\Documents\Studies\Excel\Data_Analysis\India_Staff_Analysis\"/>
    </mc:Choice>
  </mc:AlternateContent>
  <xr:revisionPtr revIDLastSave="0" documentId="13_ncr:1_{CD338D88-5A5C-429D-9E47-F5360373CCF1}" xr6:coauthVersionLast="47" xr6:coauthVersionMax="47" xr10:uidLastSave="{00000000-0000-0000-0000-000000000000}"/>
  <bookViews>
    <workbookView xWindow="-108" yWindow="-108" windowWidth="23256" windowHeight="12456" firstSheet="2" activeTab="4" xr2:uid="{26D4546B-D2A1-4444-8EAF-A6228F96F0C1}"/>
  </bookViews>
  <sheets>
    <sheet name="Data" sheetId="3" r:id="rId1"/>
    <sheet name="Company Dashboard" sheetId="6" r:id="rId2"/>
    <sheet name="Department Dashboard" sheetId="8" r:id="rId3"/>
    <sheet name="analysis_questions" sheetId="4" r:id="rId4"/>
    <sheet name="Departments_analysis" sheetId="9" r:id="rId5"/>
    <sheet name="Company Analysis" sheetId="5" r:id="rId6"/>
    <sheet name="Departments" sheetId="7" state="hidden" r:id="rId7"/>
    <sheet name="India Staff" sheetId="2" state="hidden" r:id="rId8"/>
  </sheets>
  <definedNames>
    <definedName name="_xlnm._FilterDatabase" localSheetId="0" hidden="1">Data!$A$1:$G$101</definedName>
    <definedName name="_xlnm._FilterDatabase" localSheetId="7" hidden="1">'India Staff'!$B$2:$H$94</definedName>
    <definedName name="avg_age">Departments!$P$25</definedName>
    <definedName name="avg_sal">Departments!$P$24</definedName>
    <definedName name="department_value">'Department Dashboard'!$G$5</definedName>
    <definedName name="tot_emp">Departments!$P$23</definedName>
    <definedName name="total_employees">'Company Dashboard'!$B$1</definedName>
  </definedNam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9" l="1" a="1"/>
  <c r="P25" i="7"/>
  <c r="P24" i="7"/>
  <c r="P23" i="7"/>
  <c r="L21" i="7"/>
  <c r="L22" i="7"/>
  <c r="L23" i="7"/>
  <c r="L24" i="7"/>
  <c r="L20" i="7"/>
  <c r="K21" i="7"/>
  <c r="K22" i="7"/>
  <c r="K23" i="7"/>
  <c r="K24" i="7"/>
  <c r="K20" i="7"/>
  <c r="I20" i="7"/>
  <c r="I21" i="7"/>
  <c r="I22" i="7"/>
  <c r="I23" i="7"/>
  <c r="I24" i="7"/>
  <c r="J21" i="7"/>
  <c r="J22" i="7"/>
  <c r="J23" i="7"/>
  <c r="J24" i="7"/>
  <c r="J20" i="7"/>
  <c r="H20" i="7" a="1"/>
  <c r="H20" i="7" s="1"/>
  <c r="V13" i="7"/>
  <c r="V14" i="7"/>
  <c r="V15" i="7"/>
  <c r="V16" i="7"/>
  <c r="V12" i="7"/>
  <c r="U13" i="7"/>
  <c r="U17" i="7" s="1"/>
  <c r="U14" i="7"/>
  <c r="U15" i="7"/>
  <c r="U16" i="7"/>
  <c r="T13" i="7"/>
  <c r="T14" i="7"/>
  <c r="T17" i="7" s="1"/>
  <c r="T15" i="7"/>
  <c r="T16" i="7"/>
  <c r="T12" i="7"/>
  <c r="S17" i="7"/>
  <c r="R17" i="7"/>
  <c r="U12" i="7"/>
  <c r="S13" i="7"/>
  <c r="S14" i="7"/>
  <c r="S15" i="7"/>
  <c r="S16" i="7"/>
  <c r="R13" i="7"/>
  <c r="R14" i="7"/>
  <c r="R15" i="7"/>
  <c r="R16" i="7"/>
  <c r="R12" i="7"/>
  <c r="S12" i="7"/>
  <c r="P13" i="7"/>
  <c r="P14" i="7"/>
  <c r="P15" i="7"/>
  <c r="P16" i="7"/>
  <c r="P12" i="7"/>
  <c r="O13" i="7"/>
  <c r="O14" i="7"/>
  <c r="O15" i="7"/>
  <c r="O16" i="7"/>
  <c r="O12" i="7"/>
  <c r="N13" i="7"/>
  <c r="N14" i="7"/>
  <c r="N15" i="7"/>
  <c r="N16" i="7"/>
  <c r="N12" i="7"/>
  <c r="L17" i="7"/>
  <c r="L13" i="7"/>
  <c r="L14" i="7"/>
  <c r="L15" i="7"/>
  <c r="L16" i="7"/>
  <c r="L12" i="7"/>
  <c r="D12" i="7" a="1"/>
  <c r="D12" i="7" s="1"/>
  <c r="J12" i="7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S7" i="5" a="1"/>
  <c r="S7" i="5" s="1"/>
  <c r="U7" i="5" s="1"/>
  <c r="M19" i="5" a="1"/>
  <c r="M19" i="5" s="1"/>
  <c r="O19" i="5" s="1"/>
  <c r="P12" i="5"/>
  <c r="P13" i="5"/>
  <c r="P14" i="5"/>
  <c r="O12" i="5"/>
  <c r="O14" i="5"/>
  <c r="N14" i="5"/>
  <c r="O13" i="5"/>
  <c r="N13" i="5"/>
  <c r="N12" i="5"/>
  <c r="O8" i="5"/>
  <c r="O7" i="5"/>
  <c r="O6" i="5"/>
  <c r="O5" i="5"/>
  <c r="H17" i="5" a="1"/>
  <c r="H17" i="5" s="1"/>
  <c r="I17" i="5" s="1"/>
  <c r="I10" i="5" a="1"/>
  <c r="I10" i="5" s="1"/>
  <c r="J10" i="5" s="1"/>
  <c r="I8" i="5"/>
  <c r="I7" i="5"/>
  <c r="I6" i="5"/>
  <c r="J6" i="5" s="1"/>
  <c r="K6" i="5" s="1"/>
  <c r="I5" i="5"/>
  <c r="J5" i="5" s="1"/>
  <c r="K5" i="5" s="1"/>
  <c r="I4" i="5"/>
  <c r="K29" i="9" l="1"/>
  <c r="J29" i="9"/>
  <c r="M28" i="9"/>
  <c r="K27" i="9"/>
  <c r="N27" i="9"/>
  <c r="J27" i="9"/>
  <c r="L28" i="9"/>
  <c r="N29" i="9"/>
  <c r="M27" i="9"/>
  <c r="J28" i="9"/>
  <c r="K28" i="9"/>
  <c r="M29" i="9"/>
  <c r="L27" i="9"/>
  <c r="N28" i="9"/>
  <c r="L29" i="9"/>
  <c r="L18" i="9"/>
  <c r="L16" i="9"/>
  <c r="L17" i="9"/>
  <c r="L10" i="9"/>
  <c r="J6" i="9"/>
  <c r="J10" i="9"/>
  <c r="J7" i="9"/>
  <c r="J4" i="9"/>
  <c r="K10" i="9"/>
  <c r="K24" i="9"/>
  <c r="J24" i="9"/>
  <c r="M23" i="9"/>
  <c r="L22" i="9"/>
  <c r="L24" i="9"/>
  <c r="J23" i="9"/>
  <c r="N23" i="9"/>
  <c r="M22" i="9"/>
  <c r="M24" i="9"/>
  <c r="K23" i="9"/>
  <c r="J22" i="9"/>
  <c r="N22" i="9"/>
  <c r="N24" i="9"/>
  <c r="L23" i="9"/>
  <c r="K22" i="9"/>
  <c r="K16" i="9"/>
  <c r="K17" i="9"/>
  <c r="A2" i="9"/>
  <c r="J5" i="9" s="1"/>
  <c r="K18" i="9"/>
  <c r="J17" i="9"/>
  <c r="J18" i="9"/>
  <c r="J16" i="9"/>
  <c r="V17" i="7"/>
  <c r="E16" i="7"/>
  <c r="F12" i="7"/>
  <c r="F13" i="7"/>
  <c r="G14" i="7"/>
  <c r="I14" i="7"/>
  <c r="J16" i="7"/>
  <c r="K12" i="7"/>
  <c r="K13" i="7"/>
  <c r="E15" i="7"/>
  <c r="F16" i="7"/>
  <c r="G12" i="7"/>
  <c r="G13" i="7"/>
  <c r="I13" i="7"/>
  <c r="J15" i="7"/>
  <c r="K16" i="7"/>
  <c r="E14" i="7"/>
  <c r="F15" i="7"/>
  <c r="G16" i="7"/>
  <c r="I12" i="7"/>
  <c r="I16" i="7"/>
  <c r="J14" i="7"/>
  <c r="K15" i="7"/>
  <c r="E12" i="7"/>
  <c r="E13" i="7"/>
  <c r="F14" i="7"/>
  <c r="G15" i="7"/>
  <c r="I15" i="7"/>
  <c r="J13" i="7"/>
  <c r="J17" i="7" s="1"/>
  <c r="K14" i="7"/>
  <c r="U11" i="5"/>
  <c r="V7" i="5"/>
  <c r="P19" i="5"/>
  <c r="P20" i="5"/>
  <c r="N22" i="5"/>
  <c r="V8" i="5"/>
  <c r="O23" i="5"/>
  <c r="T10" i="5"/>
  <c r="N21" i="5"/>
  <c r="O22" i="5"/>
  <c r="P23" i="5"/>
  <c r="T9" i="5"/>
  <c r="U10" i="5"/>
  <c r="V11" i="5"/>
  <c r="N19" i="5"/>
  <c r="N20" i="5"/>
  <c r="O21" i="5"/>
  <c r="P22" i="5"/>
  <c r="T7" i="5"/>
  <c r="T8" i="5"/>
  <c r="U9" i="5"/>
  <c r="V10" i="5"/>
  <c r="N23" i="5"/>
  <c r="O20" i="5"/>
  <c r="P21" i="5"/>
  <c r="T11" i="5"/>
  <c r="U8" i="5"/>
  <c r="V9" i="5"/>
  <c r="J14" i="5"/>
  <c r="J13" i="5"/>
  <c r="I19" i="5"/>
  <c r="I18" i="5"/>
  <c r="I21" i="5"/>
  <c r="J12" i="5"/>
  <c r="I9" i="5"/>
  <c r="I20" i="5"/>
  <c r="J11" i="5"/>
  <c r="N25" i="9" l="1"/>
  <c r="O23" i="9"/>
  <c r="O24" i="9"/>
  <c r="M25" i="9"/>
  <c r="L25" i="9"/>
  <c r="K25" i="9"/>
  <c r="O22" i="9"/>
  <c r="J25" i="9"/>
  <c r="I17" i="7"/>
  <c r="K17" i="7"/>
  <c r="I22" i="5"/>
  <c r="O2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<sst xmlns="http://schemas.openxmlformats.org/spreadsheetml/2006/main" count="1327" uniqueCount="271">
  <si>
    <t>Name</t>
  </si>
  <si>
    <t>Gender</t>
  </si>
  <si>
    <t>Department</t>
  </si>
  <si>
    <t>Age</t>
  </si>
  <si>
    <t>Date Joined</t>
  </si>
  <si>
    <t>Salary</t>
  </si>
  <si>
    <t>Rating</t>
  </si>
  <si>
    <t>Barr Faughny</t>
  </si>
  <si>
    <t>Female</t>
  </si>
  <si>
    <t>Procurement</t>
  </si>
  <si>
    <t>Exceptional</t>
  </si>
  <si>
    <t>Dennison Crosswaite</t>
  </si>
  <si>
    <t>Website</t>
  </si>
  <si>
    <t>Above average</t>
  </si>
  <si>
    <t>Gunar Cockshoot</t>
  </si>
  <si>
    <t>Male</t>
  </si>
  <si>
    <t>Average</t>
  </si>
  <si>
    <t>Wilone O'Kielt</t>
  </si>
  <si>
    <t>Gigi Bohling</t>
  </si>
  <si>
    <t>Sales</t>
  </si>
  <si>
    <t>Curtice Advani</t>
  </si>
  <si>
    <t>Finance</t>
  </si>
  <si>
    <t>Kaine Padly</t>
  </si>
  <si>
    <t>Ches Bonnell</t>
  </si>
  <si>
    <t>Poor</t>
  </si>
  <si>
    <t>Andria Kimpton</t>
  </si>
  <si>
    <t>Brien Boise</t>
  </si>
  <si>
    <t>Husein Augar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</si>
  <si>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</si>
  <si>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</si>
  <si>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</si>
  <si>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</si>
  <si>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</si>
  <si>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</si>
  <si>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</si>
  <si>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Beverie Moffet</t>
  </si>
  <si>
    <t>Oby Sorrel</t>
  </si>
  <si>
    <t>Mallorie Waber</t>
  </si>
  <si>
    <t>Jehu Rudeforth</t>
  </si>
  <si>
    <t>Van Tuxwell</t>
  </si>
  <si>
    <t>Roddy Speechley</t>
  </si>
  <si>
    <t>Camilla Castle</t>
  </si>
  <si>
    <t>Very poor</t>
  </si>
  <si>
    <t>Janene Hairsine</t>
  </si>
  <si>
    <t>Niall Selesnick</t>
  </si>
  <si>
    <t>Ebonee Roxburgh</t>
  </si>
  <si>
    <t>Zach Polon</t>
  </si>
  <si>
    <t>Orton Livick</t>
  </si>
  <si>
    <t>Gray Seamon</t>
  </si>
  <si>
    <t>Benny Karolovsky</t>
  </si>
  <si>
    <t>Dyna Doucette</t>
  </si>
  <si>
    <t>Erin Androsik</t>
  </si>
  <si>
    <t>Madge McCloughen</t>
  </si>
  <si>
    <t>Esmaria Denecamp</t>
  </si>
  <si>
    <t>Hogan Iles</t>
  </si>
  <si>
    <t>Valentia Etteridge</t>
  </si>
  <si>
    <t>HR</t>
  </si>
  <si>
    <t>Archibald Filliskirk</t>
  </si>
  <si>
    <t>Lindy Guillet</t>
  </si>
  <si>
    <t>Dell Molloy</t>
  </si>
  <si>
    <t>Ewart Laphorn</t>
  </si>
  <si>
    <t>Vic Radolf</t>
  </si>
  <si>
    <t>Virginia McConville</t>
  </si>
  <si>
    <t>Kaye Crocroft</t>
  </si>
  <si>
    <t>Mollie Hanway</t>
  </si>
  <si>
    <t>Hoyt D'Alesco</t>
  </si>
  <si>
    <t>Crissie Cordel</t>
  </si>
  <si>
    <t>Myer McCory</t>
  </si>
  <si>
    <t>Enoch Dowrey</t>
  </si>
  <si>
    <t>Kissiah Maydway</t>
  </si>
  <si>
    <t>Ambros Murthwaite</t>
  </si>
  <si>
    <t>Torrance Collier</t>
  </si>
  <si>
    <t>Allene Gobbet</t>
  </si>
  <si>
    <t>Violante Courtonne</t>
  </si>
  <si>
    <t>Merrilee Plenty</t>
  </si>
  <si>
    <t>Tatum Hush</t>
  </si>
  <si>
    <t>Kath Bletsoe</t>
  </si>
  <si>
    <t>Hinda Label</t>
  </si>
  <si>
    <t>Shari McNee</t>
  </si>
  <si>
    <t>My Hanscome</t>
  </si>
  <si>
    <t>Drusy MacCombe</t>
  </si>
  <si>
    <t>Halimeda Kuscha</t>
  </si>
  <si>
    <t>William Reeveley</t>
  </si>
  <si>
    <t>Tracy Renad</t>
  </si>
  <si>
    <t>Kassi Jonson</t>
  </si>
  <si>
    <t>Constantino Espley</t>
  </si>
  <si>
    <t>Gretchen Callow</t>
  </si>
  <si>
    <t>Bev Lashley</t>
  </si>
  <si>
    <t>Sibyl Dunkirk</t>
  </si>
  <si>
    <t>Alta Kaszper</t>
  </si>
  <si>
    <t>Shayne Stegel</t>
  </si>
  <si>
    <t>Hyacinthie Braybrooke</t>
  </si>
  <si>
    <t>Agnes Collicott</t>
  </si>
  <si>
    <t>Teressa Udden</t>
  </si>
  <si>
    <t>Bennie Pepis</t>
  </si>
  <si>
    <t>Elia Cockton</t>
  </si>
  <si>
    <t>Cherlyn Barter</t>
  </si>
  <si>
    <t>Murry Dryburgh</t>
  </si>
  <si>
    <t>Mahalia Larcher</t>
  </si>
  <si>
    <t>Bili Sizey</t>
  </si>
  <si>
    <t>Lilyan Klimpt</t>
  </si>
  <si>
    <t>Caro Chappel</t>
  </si>
  <si>
    <t>Leilah Yesinin</t>
  </si>
  <si>
    <t>Collin Jagson</t>
  </si>
  <si>
    <t>Kellsie Waby</t>
  </si>
  <si>
    <t>Simon Kembery</t>
  </si>
  <si>
    <t>Tawnya Tickel</t>
  </si>
  <si>
    <t>Bernie Gorges</t>
  </si>
  <si>
    <t>Florinda Crace</t>
  </si>
  <si>
    <t>Oran Buxcy</t>
  </si>
  <si>
    <t>Nanak Sapna</t>
  </si>
  <si>
    <t>Karuna Pashupathy</t>
  </si>
  <si>
    <t>Amal Nimesh</t>
  </si>
  <si>
    <t>Ramnath Ravuri</t>
  </si>
  <si>
    <t>Yauvani Tarpa</t>
  </si>
  <si>
    <t>Upendra Swati</t>
  </si>
  <si>
    <t>Hridaynath Tendulkar</t>
  </si>
  <si>
    <t>Gangadutt Ragha</t>
  </si>
  <si>
    <t>Rameshwari Chikodi</t>
  </si>
  <si>
    <t>Pratigya Rema</t>
  </si>
  <si>
    <t>Kantimoy Pritish</t>
  </si>
  <si>
    <t>Tarala Vishaal</t>
  </si>
  <si>
    <t>Ardhendu Abhichandra Jayakar</t>
  </si>
  <si>
    <t>Jagajeet Viraj</t>
  </si>
  <si>
    <t>Shattesh Utpat</t>
  </si>
  <si>
    <t>Agrata Rajarama</t>
  </si>
  <si>
    <t>Sawini Chandan</t>
  </si>
  <si>
    <t>Damayanti Thangavadivelu</t>
  </si>
  <si>
    <t>Indu Varada Sumedh</t>
  </si>
  <si>
    <t>Krittika Gaekwad</t>
  </si>
  <si>
    <t>Mardav Ramaswami</t>
  </si>
  <si>
    <t>Lalit Kothari</t>
  </si>
  <si>
    <t>Bhuvan Pals</t>
  </si>
  <si>
    <t>Sarayu Ragunathan</t>
  </si>
  <si>
    <t>Ayog Chakrabarti</t>
  </si>
  <si>
    <t>Shevantilal Muppala</t>
  </si>
  <si>
    <t>Suchira Bhanupriya Tapti</t>
  </si>
  <si>
    <t>Mahindra Sreedharan</t>
  </si>
  <si>
    <t>Chitrasen Laul</t>
  </si>
  <si>
    <t>Akbar Sorabhjee</t>
  </si>
  <si>
    <t>Shulabh Qutub Sundaramoorthy</t>
  </si>
  <si>
    <t>Sahila Chandrasekhar</t>
  </si>
  <si>
    <t>Satyendra Venkatadri</t>
  </si>
  <si>
    <t>Piyali Mahanthapa</t>
  </si>
  <si>
    <t>Rukma Vinita</t>
  </si>
  <si>
    <t>Vanmala Shriharsha</t>
  </si>
  <si>
    <t>Sarojini Naueshwara</t>
  </si>
  <si>
    <t>Kaishori Harathi Kateel</t>
  </si>
  <si>
    <t>Shobhana Samuel</t>
  </si>
  <si>
    <t>Krishnakanta Vellanki</t>
  </si>
  <si>
    <t>Shiuli Sapna</t>
  </si>
  <si>
    <t>Anjushri Chandiramani</t>
  </si>
  <si>
    <t>Fullara Sushanti Mokate</t>
  </si>
  <si>
    <t>Shreela Ramasubraman</t>
  </si>
  <si>
    <t>Gumwant Veera</t>
  </si>
  <si>
    <t>Deepali Charan</t>
  </si>
  <si>
    <t>Geena Raghavanpillai</t>
  </si>
  <si>
    <t>Prerana Nishita</t>
  </si>
  <si>
    <t>Shekhar Eswara</t>
  </si>
  <si>
    <t>Kamalakshi Mukundan</t>
  </si>
  <si>
    <t>Sahas Sanabhi Shrikant</t>
  </si>
  <si>
    <t>Ranajay Kailashnath Richa</t>
  </si>
  <si>
    <t>Sukhdev Nageshwar</t>
  </si>
  <si>
    <t>Rushil Kripa</t>
  </si>
  <si>
    <t>Daruka Ghazali</t>
  </si>
  <si>
    <t>Godavari Veena</t>
  </si>
  <si>
    <t>Anumati Shyamari Meherhomji</t>
  </si>
  <si>
    <t>Abhaya Priyavardhan</t>
  </si>
  <si>
    <t>Purnendu Vijayarangan</t>
  </si>
  <si>
    <t>Sameer Shashank Sapra</t>
  </si>
  <si>
    <t>Asija Pothireddy</t>
  </si>
  <si>
    <t>Rupak Mehra</t>
  </si>
  <si>
    <t>Makshi Vinutha</t>
  </si>
  <si>
    <t>Pragya Nilufar</t>
  </si>
  <si>
    <t>Dhruv Manjunath</t>
  </si>
  <si>
    <t>Yagna Sujeev</t>
  </si>
  <si>
    <t>Mithil Nadkarni</t>
  </si>
  <si>
    <t>Bandhula Sathyanna</t>
  </si>
  <si>
    <t>Shubhra Potla</t>
  </si>
  <si>
    <t>Narois Motiwala</t>
  </si>
  <si>
    <t>Madhumati Gazala Soumitra</t>
  </si>
  <si>
    <t>Sanchali Shirish</t>
  </si>
  <si>
    <t>Chandana Sannidhi Surnilla</t>
  </si>
  <si>
    <t>Devasree Fullara Saurin</t>
  </si>
  <si>
    <t>Kunja Prashanta Vibha</t>
  </si>
  <si>
    <t>Kevalkumar Solanki</t>
  </si>
  <si>
    <t>Kulbhushan Moorthy</t>
  </si>
  <si>
    <t>Hemavati Muthiah</t>
  </si>
  <si>
    <t>Sartaj Probal</t>
  </si>
  <si>
    <t>Jaishree Atasi Yavatkar</t>
  </si>
  <si>
    <t>Ilesh Dasgupta</t>
  </si>
  <si>
    <t>Waheeda Vasuman</t>
  </si>
  <si>
    <t>Vinanti Choudhari</t>
  </si>
  <si>
    <t>Manjusri Ruchi</t>
  </si>
  <si>
    <t>Deepit Ranjana</t>
  </si>
  <si>
    <t>Amlankusum Rajabhushan</t>
  </si>
  <si>
    <t>Udyan Lanka</t>
  </si>
  <si>
    <t>Baruna Ogale</t>
  </si>
  <si>
    <t>Heer Pennathur</t>
  </si>
  <si>
    <t>Vasu Nandin</t>
  </si>
  <si>
    <t>Madhavdas Buhpathi</t>
  </si>
  <si>
    <t>Mirium Seemantini Shivakumar</t>
  </si>
  <si>
    <t>Analysis Questions</t>
  </si>
  <si>
    <t>Summary statistics</t>
  </si>
  <si>
    <t>Average Salary</t>
  </si>
  <si>
    <t>Total Number of employees</t>
  </si>
  <si>
    <t>Total number of departments</t>
  </si>
  <si>
    <t>Employee Ratings Count</t>
  </si>
  <si>
    <t>Departmental Statistics</t>
  </si>
  <si>
    <t>Average Salary per department</t>
  </si>
  <si>
    <t>Number of employees per department</t>
  </si>
  <si>
    <t>Average Age per department</t>
  </si>
  <si>
    <t>Age distribution per department</t>
  </si>
  <si>
    <t>Average / Max/ Min/ Median age</t>
  </si>
  <si>
    <t>Salary distribution according to age/ rating/ gender</t>
  </si>
  <si>
    <t>Rating distribution according to age/department/ gender</t>
  </si>
  <si>
    <t>Salary distribution according to age/ rating/ department/ gender</t>
  </si>
  <si>
    <t>Employees Hired by duration</t>
  </si>
  <si>
    <t>Average Age:</t>
  </si>
  <si>
    <t>Oldest Employee</t>
  </si>
  <si>
    <t>Youngest Employee:</t>
  </si>
  <si>
    <t>Median Age:</t>
  </si>
  <si>
    <t>Total Number of Employees:</t>
  </si>
  <si>
    <t>Total Number of Departments</t>
  </si>
  <si>
    <t>Departments</t>
  </si>
  <si>
    <t>Ratings</t>
  </si>
  <si>
    <t>Total Ratings</t>
  </si>
  <si>
    <t>Salary Distribution</t>
  </si>
  <si>
    <t>Highest Salary</t>
  </si>
  <si>
    <t>Lowest Salary</t>
  </si>
  <si>
    <t>Median Salary</t>
  </si>
  <si>
    <t>Other</t>
  </si>
  <si>
    <t>Salary Distribution by Gender</t>
  </si>
  <si>
    <t>Salary Distribution by Rating</t>
  </si>
  <si>
    <t>Salary Distribution by Department</t>
  </si>
  <si>
    <t>Period</t>
  </si>
  <si>
    <t>India Staff Company Dashboard</t>
  </si>
  <si>
    <t xml:space="preserve"> </t>
  </si>
  <si>
    <t>Age Statistic Per Department</t>
  </si>
  <si>
    <t>Average Age</t>
  </si>
  <si>
    <t>Gender Statistics</t>
  </si>
  <si>
    <t>todo: Gender Statistics across company</t>
  </si>
  <si>
    <t>Gender Statistics across departments</t>
  </si>
  <si>
    <t>Total Employees</t>
  </si>
  <si>
    <t>Grand total</t>
  </si>
  <si>
    <t>Total Males</t>
  </si>
  <si>
    <t>Total Females</t>
  </si>
  <si>
    <t>Salary Statistics</t>
  </si>
  <si>
    <t>Top Salary</t>
  </si>
  <si>
    <t>Youngest Employee</t>
  </si>
  <si>
    <t>Rating Statistics</t>
  </si>
  <si>
    <t>Above Average</t>
  </si>
  <si>
    <t>Total</t>
  </si>
  <si>
    <t>Rating per department</t>
  </si>
  <si>
    <t xml:space="preserve">Rating per department </t>
  </si>
  <si>
    <t>Age Statistics per deparment</t>
  </si>
  <si>
    <t>Gender statistics</t>
  </si>
  <si>
    <t>Salary statistics per gender, rating</t>
  </si>
  <si>
    <t>Highest Paid Male</t>
  </si>
  <si>
    <t>Highest Paid Female</t>
  </si>
  <si>
    <t>Lowest Paid Male</t>
  </si>
  <si>
    <t>Lowest Paid Female</t>
  </si>
  <si>
    <t>Grand Total</t>
  </si>
  <si>
    <t>Average of Salary</t>
  </si>
  <si>
    <t xml:space="preserve">gfn </t>
  </si>
  <si>
    <t>Rating Distribution According to Gender</t>
  </si>
  <si>
    <t>Salary Distribution According to Gender</t>
  </si>
  <si>
    <t>Department Name:</t>
  </si>
  <si>
    <t>Total Employees:</t>
  </si>
  <si>
    <t>Sub-Total</t>
  </si>
  <si>
    <t>Departmental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</si>
</sst>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8"/>
      <color theme="5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2" borderId="0" xfId="0" applyFont="1" applyFill="1"/>
    <xf numFmtId="15" fontId="1" fillId="2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  <xf numFmtId="14" fontId="1" fillId="2" borderId="0" xfId="0" applyNumberFormat="1" applyFont="1" applyFill="1"/>
    <xf numFmtId="14" fontId="0" fillId="0" borderId="0" xfId="0" applyNumberFormat="1"/>
    <xf numFmtId="0" fontId="0" fillId="3" borderId="0" xfId="0" applyFill="1"/>
    <xf numFmtId="0" fontId="0" fillId="0" borderId="1" xfId="0" applyBorder="1"/>
    <xf numFmtId="0" fontId="0" fillId="0" borderId="3" xfId="0" applyBorder="1"/>
    <xf numFmtId="0" fontId="1" fillId="0" borderId="1" xfId="0" applyFont="1" applyBorder="1"/>
    <xf numFmtId="0" fontId="1" fillId="0" borderId="2" xfId="0" applyFont="1" applyBorder="1"/>
    <xf numFmtId="165" fontId="0" fillId="0" borderId="1" xfId="0" applyNumberFormat="1" applyBorder="1"/>
    <xf numFmtId="1" fontId="1" fillId="2" borderId="0" xfId="0" applyNumberFormat="1" applyFont="1" applyFill="1"/>
    <xf numFmtId="1" fontId="0" fillId="0" borderId="0" xfId="0" applyNumberFormat="1"/>
    <xf numFmtId="164" fontId="0" fillId="0" borderId="1" xfId="0" applyNumberFormat="1" applyBorder="1"/>
    <xf numFmtId="0" fontId="0" fillId="4" borderId="0" xfId="0" applyFill="1"/>
    <xf numFmtId="0" fontId="2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5" fillId="2" borderId="1" xfId="0" applyFont="1" applyFill="1" applyBorder="1"/>
    <xf numFmtId="15" fontId="5" fillId="2" borderId="1" xfId="0" applyNumberFormat="1" applyFont="1" applyFill="1" applyBorder="1"/>
    <xf numFmtId="165" fontId="5" fillId="2" borderId="1" xfId="0" applyNumberFormat="1" applyFont="1" applyFill="1" applyBorder="1"/>
    <xf numFmtId="0" fontId="6" fillId="0" borderId="0" xfId="0" applyFont="1"/>
    <xf numFmtId="14" fontId="6" fillId="0" borderId="0" xfId="0" applyNumberFormat="1" applyFont="1"/>
    <xf numFmtId="0" fontId="6" fillId="0" borderId="1" xfId="0" applyFont="1" applyBorder="1"/>
    <xf numFmtId="14" fontId="6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/>
    <xf numFmtId="165" fontId="6" fillId="0" borderId="1" xfId="0" applyNumberFormat="1" applyFont="1" applyBorder="1"/>
    <xf numFmtId="0" fontId="5" fillId="0" borderId="0" xfId="0" applyFont="1"/>
    <xf numFmtId="164" fontId="6" fillId="0" borderId="1" xfId="0" applyNumberFormat="1" applyFont="1" applyBorder="1"/>
    <xf numFmtId="0" fontId="6" fillId="0" borderId="2" xfId="0" applyFont="1" applyBorder="1"/>
    <xf numFmtId="0" fontId="5" fillId="0" borderId="2" xfId="0" applyFont="1" applyBorder="1"/>
    <xf numFmtId="0" fontId="5" fillId="5" borderId="1" xfId="0" applyFont="1" applyFill="1" applyBorder="1"/>
    <xf numFmtId="0" fontId="7" fillId="0" borderId="0" xfId="0" applyFont="1"/>
    <xf numFmtId="0" fontId="4" fillId="6" borderId="0" xfId="0" applyFont="1" applyFill="1" applyAlignment="1">
      <alignment horizontal="center"/>
    </xf>
    <xf numFmtId="0" fontId="0" fillId="7" borderId="0" xfId="0" applyFill="1"/>
    <xf numFmtId="0" fontId="7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top"/>
    </xf>
    <xf numFmtId="1" fontId="0" fillId="0" borderId="1" xfId="0" applyNumberFormat="1" applyBorder="1"/>
  </cellXfs>
  <cellStyles count="1">
    <cellStyle name="Normal" xfId="0" builtinId="0"/>
  </cellStyles>
  <dxfs count="5">
    <dxf>
      <numFmt numFmtId="0" formatCode="General"/>
    </dxf>
    <dxf>
      <numFmt numFmtId="165" formatCode="&quot;$&quot;#,##0"/>
    </dxf>
    <dxf>
      <numFmt numFmtId="19" formatCode="m/d/yyyy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Salary Distribution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analysis_questions!$G$1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flat" cmpd="dbl" algn="ctr">
              <a:noFill/>
              <a:round/>
            </a:ln>
            <a:effectLst>
              <a:outerShdw blurRad="50800" dist="50800" dir="5400000" algn="ctr" rotWithShape="0">
                <a:schemeClr val="accent1">
                  <a:lumMod val="20000"/>
                  <a:lumOff val="80000"/>
                </a:schemeClr>
              </a:outerShdw>
            </a:effectLst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accent1">
                    <a:lumMod val="20000"/>
                    <a:lumOff val="80000"/>
                  </a:schemeClr>
                </a:outerShdw>
              </a:effectLst>
            </c:spPr>
          </c:marker>
          <c:xVal>
            <c:numRef>
              <c:f>analysis_questions!$E$2:$E$102</c:f>
              <c:numCache>
                <c:formatCode>0</c:formatCode>
                <c:ptCount val="101"/>
                <c:pt idx="0">
                  <c:v>22</c:v>
                </c:pt>
                <c:pt idx="1">
                  <c:v>46</c:v>
                </c:pt>
                <c:pt idx="2">
                  <c:v>28</c:v>
                </c:pt>
                <c:pt idx="3">
                  <c:v>37</c:v>
                </c:pt>
                <c:pt idx="4">
                  <c:v>32</c:v>
                </c:pt>
                <c:pt idx="5">
                  <c:v>30</c:v>
                </c:pt>
                <c:pt idx="6">
                  <c:v>33</c:v>
                </c:pt>
                <c:pt idx="7">
                  <c:v>24</c:v>
                </c:pt>
                <c:pt idx="8">
                  <c:v>33</c:v>
                </c:pt>
                <c:pt idx="9">
                  <c:v>27</c:v>
                </c:pt>
                <c:pt idx="10">
                  <c:v>29</c:v>
                </c:pt>
                <c:pt idx="11">
                  <c:v>25</c:v>
                </c:pt>
                <c:pt idx="12">
                  <c:v>37</c:v>
                </c:pt>
                <c:pt idx="13">
                  <c:v>20</c:v>
                </c:pt>
                <c:pt idx="14">
                  <c:v>32</c:v>
                </c:pt>
                <c:pt idx="15">
                  <c:v>40</c:v>
                </c:pt>
                <c:pt idx="16">
                  <c:v>21</c:v>
                </c:pt>
                <c:pt idx="17">
                  <c:v>21</c:v>
                </c:pt>
                <c:pt idx="18">
                  <c:v>31</c:v>
                </c:pt>
                <c:pt idx="19">
                  <c:v>21</c:v>
                </c:pt>
                <c:pt idx="20">
                  <c:v>34</c:v>
                </c:pt>
                <c:pt idx="21">
                  <c:v>30</c:v>
                </c:pt>
                <c:pt idx="22">
                  <c:v>31</c:v>
                </c:pt>
                <c:pt idx="23">
                  <c:v>27</c:v>
                </c:pt>
                <c:pt idx="24">
                  <c:v>30</c:v>
                </c:pt>
                <c:pt idx="25">
                  <c:v>42</c:v>
                </c:pt>
                <c:pt idx="26">
                  <c:v>40</c:v>
                </c:pt>
                <c:pt idx="27">
                  <c:v>29</c:v>
                </c:pt>
                <c:pt idx="28">
                  <c:v>28</c:v>
                </c:pt>
                <c:pt idx="29">
                  <c:v>34</c:v>
                </c:pt>
                <c:pt idx="30">
                  <c:v>33</c:v>
                </c:pt>
                <c:pt idx="31">
                  <c:v>33</c:v>
                </c:pt>
                <c:pt idx="32">
                  <c:v>36</c:v>
                </c:pt>
                <c:pt idx="33">
                  <c:v>25</c:v>
                </c:pt>
                <c:pt idx="34">
                  <c:v>34</c:v>
                </c:pt>
                <c:pt idx="35">
                  <c:v>28</c:v>
                </c:pt>
                <c:pt idx="36">
                  <c:v>33</c:v>
                </c:pt>
                <c:pt idx="37">
                  <c:v>31</c:v>
                </c:pt>
                <c:pt idx="38">
                  <c:v>31</c:v>
                </c:pt>
                <c:pt idx="39">
                  <c:v>24</c:v>
                </c:pt>
                <c:pt idx="40">
                  <c:v>36</c:v>
                </c:pt>
                <c:pt idx="41">
                  <c:v>33</c:v>
                </c:pt>
                <c:pt idx="42">
                  <c:v>27</c:v>
                </c:pt>
                <c:pt idx="43">
                  <c:v>34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25</c:v>
                </c:pt>
                <c:pt idx="48">
                  <c:v>19</c:v>
                </c:pt>
                <c:pt idx="49">
                  <c:v>36</c:v>
                </c:pt>
                <c:pt idx="50">
                  <c:v>28</c:v>
                </c:pt>
                <c:pt idx="51">
                  <c:v>32</c:v>
                </c:pt>
                <c:pt idx="52">
                  <c:v>34</c:v>
                </c:pt>
                <c:pt idx="53">
                  <c:v>36</c:v>
                </c:pt>
                <c:pt idx="54">
                  <c:v>30</c:v>
                </c:pt>
                <c:pt idx="55">
                  <c:v>36</c:v>
                </c:pt>
                <c:pt idx="56">
                  <c:v>38</c:v>
                </c:pt>
                <c:pt idx="57">
                  <c:v>27</c:v>
                </c:pt>
                <c:pt idx="58">
                  <c:v>30</c:v>
                </c:pt>
                <c:pt idx="59">
                  <c:v>37</c:v>
                </c:pt>
                <c:pt idx="60">
                  <c:v>22</c:v>
                </c:pt>
                <c:pt idx="61">
                  <c:v>43</c:v>
                </c:pt>
                <c:pt idx="62">
                  <c:v>32</c:v>
                </c:pt>
                <c:pt idx="63">
                  <c:v>28</c:v>
                </c:pt>
                <c:pt idx="64">
                  <c:v>27</c:v>
                </c:pt>
                <c:pt idx="65">
                  <c:v>26</c:v>
                </c:pt>
                <c:pt idx="66">
                  <c:v>38</c:v>
                </c:pt>
                <c:pt idx="67">
                  <c:v>25</c:v>
                </c:pt>
                <c:pt idx="68">
                  <c:v>21</c:v>
                </c:pt>
                <c:pt idx="69">
                  <c:v>26</c:v>
                </c:pt>
                <c:pt idx="70">
                  <c:v>30</c:v>
                </c:pt>
                <c:pt idx="71">
                  <c:v>28</c:v>
                </c:pt>
                <c:pt idx="72">
                  <c:v>37</c:v>
                </c:pt>
                <c:pt idx="73">
                  <c:v>24</c:v>
                </c:pt>
                <c:pt idx="74">
                  <c:v>30</c:v>
                </c:pt>
                <c:pt idx="75">
                  <c:v>21</c:v>
                </c:pt>
                <c:pt idx="76">
                  <c:v>23</c:v>
                </c:pt>
                <c:pt idx="77">
                  <c:v>35</c:v>
                </c:pt>
                <c:pt idx="78">
                  <c:v>27</c:v>
                </c:pt>
                <c:pt idx="79">
                  <c:v>43</c:v>
                </c:pt>
                <c:pt idx="80">
                  <c:v>40</c:v>
                </c:pt>
                <c:pt idx="81">
                  <c:v>30</c:v>
                </c:pt>
                <c:pt idx="82">
                  <c:v>34</c:v>
                </c:pt>
                <c:pt idx="83">
                  <c:v>28</c:v>
                </c:pt>
                <c:pt idx="84">
                  <c:v>33</c:v>
                </c:pt>
                <c:pt idx="85">
                  <c:v>33</c:v>
                </c:pt>
                <c:pt idx="86">
                  <c:v>32</c:v>
                </c:pt>
                <c:pt idx="87">
                  <c:v>33</c:v>
                </c:pt>
                <c:pt idx="88">
                  <c:v>33</c:v>
                </c:pt>
                <c:pt idx="89">
                  <c:v>30</c:v>
                </c:pt>
                <c:pt idx="90">
                  <c:v>42</c:v>
                </c:pt>
                <c:pt idx="91">
                  <c:v>26</c:v>
                </c:pt>
                <c:pt idx="92">
                  <c:v>22</c:v>
                </c:pt>
                <c:pt idx="93">
                  <c:v>46</c:v>
                </c:pt>
                <c:pt idx="94">
                  <c:v>28</c:v>
                </c:pt>
                <c:pt idx="95">
                  <c:v>37</c:v>
                </c:pt>
                <c:pt idx="96">
                  <c:v>32</c:v>
                </c:pt>
                <c:pt idx="97">
                  <c:v>30</c:v>
                </c:pt>
                <c:pt idx="98">
                  <c:v>33</c:v>
                </c:pt>
                <c:pt idx="99">
                  <c:v>24</c:v>
                </c:pt>
              </c:numCache>
            </c:numRef>
          </c:xVal>
          <c:yVal>
            <c:numRef>
              <c:f>analysis_questions!$G$2:$G$102</c:f>
              <c:numCache>
                <c:formatCode>"$"#,##0</c:formatCode>
                <c:ptCount val="101"/>
                <c:pt idx="0">
                  <c:v>112780</c:v>
                </c:pt>
                <c:pt idx="1">
                  <c:v>70610</c:v>
                </c:pt>
                <c:pt idx="2">
                  <c:v>53240</c:v>
                </c:pt>
                <c:pt idx="3">
                  <c:v>115440</c:v>
                </c:pt>
                <c:pt idx="4">
                  <c:v>53540</c:v>
                </c:pt>
                <c:pt idx="5">
                  <c:v>112570</c:v>
                </c:pt>
                <c:pt idx="6">
                  <c:v>48530</c:v>
                </c:pt>
                <c:pt idx="7">
                  <c:v>62780</c:v>
                </c:pt>
                <c:pt idx="8">
                  <c:v>53870</c:v>
                </c:pt>
                <c:pt idx="9">
                  <c:v>119110</c:v>
                </c:pt>
                <c:pt idx="10">
                  <c:v>112110</c:v>
                </c:pt>
                <c:pt idx="11">
                  <c:v>65700</c:v>
                </c:pt>
                <c:pt idx="12">
                  <c:v>69070</c:v>
                </c:pt>
                <c:pt idx="13">
                  <c:v>107700</c:v>
                </c:pt>
                <c:pt idx="14">
                  <c:v>43840</c:v>
                </c:pt>
                <c:pt idx="15">
                  <c:v>99750</c:v>
                </c:pt>
                <c:pt idx="16">
                  <c:v>37920</c:v>
                </c:pt>
                <c:pt idx="17">
                  <c:v>57090</c:v>
                </c:pt>
                <c:pt idx="18">
                  <c:v>41980</c:v>
                </c:pt>
                <c:pt idx="19">
                  <c:v>75880</c:v>
                </c:pt>
                <c:pt idx="20">
                  <c:v>58940</c:v>
                </c:pt>
                <c:pt idx="21">
                  <c:v>67910</c:v>
                </c:pt>
                <c:pt idx="22">
                  <c:v>58100</c:v>
                </c:pt>
                <c:pt idx="23">
                  <c:v>48980</c:v>
                </c:pt>
                <c:pt idx="24">
                  <c:v>64000</c:v>
                </c:pt>
                <c:pt idx="25">
                  <c:v>75000</c:v>
                </c:pt>
                <c:pt idx="26">
                  <c:v>87620</c:v>
                </c:pt>
                <c:pt idx="27">
                  <c:v>34980</c:v>
                </c:pt>
                <c:pt idx="28">
                  <c:v>75970</c:v>
                </c:pt>
                <c:pt idx="29">
                  <c:v>60130</c:v>
                </c:pt>
                <c:pt idx="30">
                  <c:v>75480</c:v>
                </c:pt>
                <c:pt idx="31">
                  <c:v>115920</c:v>
                </c:pt>
                <c:pt idx="32">
                  <c:v>78540</c:v>
                </c:pt>
                <c:pt idx="33">
                  <c:v>109190</c:v>
                </c:pt>
                <c:pt idx="34">
                  <c:v>49630</c:v>
                </c:pt>
                <c:pt idx="35">
                  <c:v>99970</c:v>
                </c:pt>
                <c:pt idx="36">
                  <c:v>96140</c:v>
                </c:pt>
                <c:pt idx="37">
                  <c:v>103550</c:v>
                </c:pt>
                <c:pt idx="38">
                  <c:v>48950</c:v>
                </c:pt>
                <c:pt idx="39">
                  <c:v>52610</c:v>
                </c:pt>
                <c:pt idx="40">
                  <c:v>78390</c:v>
                </c:pt>
                <c:pt idx="41">
                  <c:v>86570</c:v>
                </c:pt>
                <c:pt idx="42">
                  <c:v>83750</c:v>
                </c:pt>
                <c:pt idx="43">
                  <c:v>92450</c:v>
                </c:pt>
                <c:pt idx="44">
                  <c:v>112650</c:v>
                </c:pt>
                <c:pt idx="45">
                  <c:v>79570</c:v>
                </c:pt>
                <c:pt idx="46">
                  <c:v>68900</c:v>
                </c:pt>
                <c:pt idx="47">
                  <c:v>80700</c:v>
                </c:pt>
                <c:pt idx="48">
                  <c:v>58960</c:v>
                </c:pt>
                <c:pt idx="49">
                  <c:v>118840</c:v>
                </c:pt>
                <c:pt idx="50">
                  <c:v>48170</c:v>
                </c:pt>
                <c:pt idx="51">
                  <c:v>45510</c:v>
                </c:pt>
                <c:pt idx="52">
                  <c:v>112650</c:v>
                </c:pt>
                <c:pt idx="53">
                  <c:v>114890</c:v>
                </c:pt>
                <c:pt idx="54">
                  <c:v>69710</c:v>
                </c:pt>
                <c:pt idx="55">
                  <c:v>71380</c:v>
                </c:pt>
                <c:pt idx="56">
                  <c:v>109160</c:v>
                </c:pt>
                <c:pt idx="57">
                  <c:v>113280</c:v>
                </c:pt>
                <c:pt idx="58">
                  <c:v>69120</c:v>
                </c:pt>
                <c:pt idx="59">
                  <c:v>118100</c:v>
                </c:pt>
                <c:pt idx="60">
                  <c:v>76900</c:v>
                </c:pt>
                <c:pt idx="61">
                  <c:v>114870</c:v>
                </c:pt>
                <c:pt idx="62">
                  <c:v>91310</c:v>
                </c:pt>
                <c:pt idx="63">
                  <c:v>104770</c:v>
                </c:pt>
                <c:pt idx="64">
                  <c:v>54970</c:v>
                </c:pt>
                <c:pt idx="65">
                  <c:v>90700</c:v>
                </c:pt>
                <c:pt idx="66">
                  <c:v>56870</c:v>
                </c:pt>
                <c:pt idx="67">
                  <c:v>92700</c:v>
                </c:pt>
                <c:pt idx="68">
                  <c:v>65920</c:v>
                </c:pt>
                <c:pt idx="69">
                  <c:v>47360</c:v>
                </c:pt>
                <c:pt idx="70">
                  <c:v>60570</c:v>
                </c:pt>
                <c:pt idx="71">
                  <c:v>104120</c:v>
                </c:pt>
                <c:pt idx="72">
                  <c:v>88050</c:v>
                </c:pt>
                <c:pt idx="73">
                  <c:v>100420</c:v>
                </c:pt>
                <c:pt idx="74">
                  <c:v>114180</c:v>
                </c:pt>
                <c:pt idx="75">
                  <c:v>33920</c:v>
                </c:pt>
                <c:pt idx="76">
                  <c:v>106460</c:v>
                </c:pt>
                <c:pt idx="77">
                  <c:v>40400</c:v>
                </c:pt>
                <c:pt idx="78">
                  <c:v>91650</c:v>
                </c:pt>
                <c:pt idx="79">
                  <c:v>36040</c:v>
                </c:pt>
                <c:pt idx="80">
                  <c:v>104410</c:v>
                </c:pt>
                <c:pt idx="81">
                  <c:v>96800</c:v>
                </c:pt>
                <c:pt idx="82">
                  <c:v>85000</c:v>
                </c:pt>
                <c:pt idx="83">
                  <c:v>43510</c:v>
                </c:pt>
                <c:pt idx="84">
                  <c:v>59430</c:v>
                </c:pt>
                <c:pt idx="85">
                  <c:v>65360</c:v>
                </c:pt>
                <c:pt idx="86">
                  <c:v>41570</c:v>
                </c:pt>
                <c:pt idx="87">
                  <c:v>75280</c:v>
                </c:pt>
                <c:pt idx="88">
                  <c:v>74550</c:v>
                </c:pt>
                <c:pt idx="89">
                  <c:v>67950</c:v>
                </c:pt>
                <c:pt idx="90">
                  <c:v>70270</c:v>
                </c:pt>
                <c:pt idx="91">
                  <c:v>53540</c:v>
                </c:pt>
                <c:pt idx="92">
                  <c:v>112780</c:v>
                </c:pt>
                <c:pt idx="93">
                  <c:v>70610</c:v>
                </c:pt>
                <c:pt idx="94">
                  <c:v>53240</c:v>
                </c:pt>
                <c:pt idx="95">
                  <c:v>115440</c:v>
                </c:pt>
                <c:pt idx="96">
                  <c:v>53540</c:v>
                </c:pt>
                <c:pt idx="97">
                  <c:v>112570</c:v>
                </c:pt>
                <c:pt idx="98">
                  <c:v>48530</c:v>
                </c:pt>
                <c:pt idx="99">
                  <c:v>62780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4C-49C6-8934-B840B5166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86591"/>
        <c:axId val="810785631"/>
      </c:scatterChart>
      <c:valAx>
        <c:axId val="81078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85631"/>
        <c:crosses val="autoZero"/>
        <c:crossBetween val="midCat"/>
      </c:valAx>
      <c:valAx>
        <c:axId val="8107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8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75000"/>
                  </a:schemeClr>
                </a:solidFill>
              </a:rPr>
              <a:t>Salary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'Company Analysis'!$N$11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'Company Analysis'!$M$12:$M$14</c:f>
              <c:strCache>
                <c:ptCount val="3"/>
                <c:pt idx="0">
                  <c:v>Average Salary</c:v>
                </c:pt>
                <c:pt idx="1">
                  <c:v>Highest Salary</c:v>
                </c:pt>
                <c:pt idx="2">
                  <c:v>Lowest Salary</c:v>
                </c:pt>
              </c:strCache>
            </c:strRef>
          </c:cat>
          <c:val>
            <c:numRef>
              <c:f>'Company Analysis'!$N$12:$N$14</c:f>
              <c:numCache>
                <c:formatCode>"$"#,##0</c:formatCode>
                <c:ptCount val="3"/>
                <c:pt idx="0">
                  <c:v>75010.408163265311</c:v>
                </c:pt>
                <c:pt idx="1">
                  <c:v>118840</c:v>
                </c:pt>
                <c:pt idx="2">
                  <c:v>36040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2-42F9-89E1-037AD48C752E}"/>
            </c:ext>
          </c:extLst>
        </c:ser>
        <c:ser>
          <c:idx val="1"/>
          <c:order val="1"/>
          <c:tx>
            <c:strRef>
              <c:f>'Company Analysis'!$O$11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'Company Analysis'!$M$12:$M$14</c:f>
              <c:strCache>
                <c:ptCount val="3"/>
                <c:pt idx="0">
                  <c:v>Average Salary</c:v>
                </c:pt>
                <c:pt idx="1">
                  <c:v>Highest Salary</c:v>
                </c:pt>
                <c:pt idx="2">
                  <c:v>Lowest Salary</c:v>
                </c:pt>
              </c:strCache>
            </c:strRef>
          </c:cat>
          <c:val>
            <c:numRef>
              <c:f>'Company Analysis'!$O$12:$O$14</c:f>
              <c:numCache>
                <c:formatCode>"$"#,##0</c:formatCode>
                <c:ptCount val="3"/>
                <c:pt idx="0">
                  <c:v>78148.043478260865</c:v>
                </c:pt>
                <c:pt idx="1">
                  <c:v>119110</c:v>
                </c:pt>
                <c:pt idx="2">
                  <c:v>33920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2-42F9-89E1-037AD48C7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5327663"/>
        <c:axId val="1485329583"/>
      </c:barChart>
      <c:catAx>
        <c:axId val="14853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29583"/>
        <c:crosses val="autoZero"/>
        <c:auto val="1"/>
        <c:lblAlgn val="ctr"/>
        <c:lblOffset val="100"/>
        <c:noMultiLvlLbl val="0"/>
      </c:catAx>
      <c:valAx>
        <c:axId val="14853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75000"/>
                  </a:schemeClr>
                </a:solidFill>
              </a:rPr>
              <a:t>Salary Distribution by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Analysis'!$N$18</c:f>
              <c:strCache>
                <c:ptCount val="1"/>
                <c:pt idx="0">
                  <c:v>Average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Analysis'!$M$19:$M$23</c:f>
              <c:strCache>
                <c:ptCount val="5"/>
                <c:pt idx="0">
                  <c:v>Above average</c:v>
                </c:pt>
                <c:pt idx="1">
                  <c:v>Average</c:v>
                </c:pt>
                <c:pt idx="2">
                  <c:v>Poor</c:v>
                </c:pt>
                <c:pt idx="3">
                  <c:v>Exceptional</c:v>
                </c:pt>
                <c:pt idx="4">
                  <c:v>Very poor</c:v>
                </c:pt>
              </c:strCache>
            </c:strRef>
          </c:cat>
          <c:val>
            <c:numRef>
              <c:f>'Company Analysis'!$N$19:$N$23</c:f>
              <c:numCache>
                <c:formatCode>"$"#,##0.00</c:formatCode>
                <c:ptCount val="5"/>
                <c:pt idx="0">
                  <c:v>76720</c:v>
                </c:pt>
                <c:pt idx="1">
                  <c:v>76618.648648648654</c:v>
                </c:pt>
                <c:pt idx="2">
                  <c:v>82262.222222222219</c:v>
                </c:pt>
                <c:pt idx="3">
                  <c:v>92080</c:v>
                </c:pt>
                <c:pt idx="4">
                  <c:v>77423.333333333328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1-4228-919D-F85CE0316A63}"/>
            </c:ext>
          </c:extLst>
        </c:ser>
        <c:ser>
          <c:idx val="1"/>
          <c:order val="1"/>
          <c:tx>
            <c:strRef>
              <c:f>'Company Analysis'!$O$18</c:f>
              <c:strCache>
                <c:ptCount val="1"/>
                <c:pt idx="0">
                  <c:v>Highest Salary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Analysis'!$M$19:$M$23</c:f>
              <c:strCache>
                <c:ptCount val="5"/>
                <c:pt idx="0">
                  <c:v>Above average</c:v>
                </c:pt>
                <c:pt idx="1">
                  <c:v>Average</c:v>
                </c:pt>
                <c:pt idx="2">
                  <c:v>Poor</c:v>
                </c:pt>
                <c:pt idx="3">
                  <c:v>Exceptional</c:v>
                </c:pt>
                <c:pt idx="4">
                  <c:v>Very poor</c:v>
                </c:pt>
              </c:strCache>
            </c:strRef>
          </c:cat>
          <c:val>
            <c:numRef>
              <c:f>'Company Analysis'!$O$19:$O$23</c:f>
              <c:numCache>
                <c:formatCode>General</c:formatCode>
                <c:ptCount val="5"/>
                <c:pt idx="0">
                  <c:v>112780</c:v>
                </c:pt>
                <c:pt idx="1">
                  <c:v>119110</c:v>
                </c:pt>
                <c:pt idx="2">
                  <c:v>115440</c:v>
                </c:pt>
                <c:pt idx="3">
                  <c:v>109160</c:v>
                </c:pt>
                <c:pt idx="4">
                  <c:v>113280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1-4228-919D-F85CE0316A63}"/>
            </c:ext>
          </c:extLst>
        </c:ser>
        <c:ser>
          <c:idx val="2"/>
          <c:order val="2"/>
          <c:tx>
            <c:strRef>
              <c:f>'Company Analysis'!$P$18</c:f>
              <c:strCache>
                <c:ptCount val="1"/>
                <c:pt idx="0">
                  <c:v>Lowest Salary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Analysis'!$M$19:$M$23</c:f>
              <c:strCache>
                <c:ptCount val="5"/>
                <c:pt idx="0">
                  <c:v>Above average</c:v>
                </c:pt>
                <c:pt idx="1">
                  <c:v>Average</c:v>
                </c:pt>
                <c:pt idx="2">
                  <c:v>Poor</c:v>
                </c:pt>
                <c:pt idx="3">
                  <c:v>Exceptional</c:v>
                </c:pt>
                <c:pt idx="4">
                  <c:v>Very poor</c:v>
                </c:pt>
              </c:strCache>
            </c:strRef>
          </c:cat>
          <c:val>
            <c:numRef>
              <c:f>'Company Analysis'!$P$19:$P$23</c:f>
              <c:numCache>
                <c:formatCode>General</c:formatCode>
                <c:ptCount val="5"/>
                <c:pt idx="0">
                  <c:v>43840</c:v>
                </c:pt>
                <c:pt idx="1">
                  <c:v>33920</c:v>
                </c:pt>
                <c:pt idx="2">
                  <c:v>49630</c:v>
                </c:pt>
                <c:pt idx="3">
                  <c:v>75000</c:v>
                </c:pt>
                <c:pt idx="4">
                  <c:v>43510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1-4228-919D-F85CE0316A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96420367"/>
        <c:axId val="1296419407"/>
      </c:barChart>
      <c:catAx>
        <c:axId val="12964203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19407"/>
        <c:crosses val="autoZero"/>
        <c:auto val="1"/>
        <c:lblAlgn val="ctr"/>
        <c:lblOffset val="100"/>
        <c:noMultiLvlLbl val="0"/>
      </c:catAx>
      <c:valAx>
        <c:axId val="12964194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crossAx val="12964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75000"/>
                  </a:schemeClr>
                </a:solidFill>
              </a:rPr>
              <a:t>Salary Distribution By 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Analysis'!$T$6</c:f>
              <c:strCache>
                <c:ptCount val="1"/>
                <c:pt idx="0">
                  <c:v>Average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Analysis'!$S$7:$S$11</c:f>
              <c:strCache>
                <c:ptCount val="5"/>
                <c:pt idx="0">
                  <c:v>Sales</c:v>
                </c:pt>
                <c:pt idx="1">
                  <c:v>Procurement</c:v>
                </c:pt>
                <c:pt idx="2">
                  <c:v>Finance</c:v>
                </c:pt>
                <c:pt idx="3">
                  <c:v>Website</c:v>
                </c:pt>
                <c:pt idx="4">
                  <c:v>HR</c:v>
                </c:pt>
              </c:strCache>
            </c:strRef>
          </c:cat>
          <c:val>
            <c:numRef>
              <c:f>'Company Analysis'!$T$7:$T$11</c:f>
              <c:numCache>
                <c:formatCode>"$"#,##0.00</c:formatCode>
                <c:ptCount val="5"/>
                <c:pt idx="0">
                  <c:v>68805.294117647063</c:v>
                </c:pt>
                <c:pt idx="1">
                  <c:v>81850.645161290318</c:v>
                </c:pt>
                <c:pt idx="2">
                  <c:v>74621</c:v>
                </c:pt>
                <c:pt idx="3">
                  <c:v>78183.21428571429</c:v>
                </c:pt>
                <c:pt idx="4">
                  <c:v>89650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9-402C-9A45-1DF024635317}"/>
            </c:ext>
          </c:extLst>
        </c:ser>
        <c:ser>
          <c:idx val="1"/>
          <c:order val="1"/>
          <c:tx>
            <c:strRef>
              <c:f>'Company Analysis'!$U$6</c:f>
              <c:strCache>
                <c:ptCount val="1"/>
                <c:pt idx="0">
                  <c:v>Highest Salary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Analysis'!$S$7:$S$11</c:f>
              <c:strCache>
                <c:ptCount val="5"/>
                <c:pt idx="0">
                  <c:v>Sales</c:v>
                </c:pt>
                <c:pt idx="1">
                  <c:v>Procurement</c:v>
                </c:pt>
                <c:pt idx="2">
                  <c:v>Finance</c:v>
                </c:pt>
                <c:pt idx="3">
                  <c:v>Website</c:v>
                </c:pt>
                <c:pt idx="4">
                  <c:v>HR</c:v>
                </c:pt>
              </c:strCache>
            </c:strRef>
          </c:cat>
          <c:val>
            <c:numRef>
              <c:f>'Company Analysis'!$U$7:$U$11</c:f>
              <c:numCache>
                <c:formatCode>"$"#,##0</c:formatCode>
                <c:ptCount val="5"/>
                <c:pt idx="0">
                  <c:v>112780</c:v>
                </c:pt>
                <c:pt idx="1">
                  <c:v>115920</c:v>
                </c:pt>
                <c:pt idx="2">
                  <c:v>115440</c:v>
                </c:pt>
                <c:pt idx="3">
                  <c:v>118840</c:v>
                </c:pt>
                <c:pt idx="4">
                  <c:v>119110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9-402C-9A45-1DF024635317}"/>
            </c:ext>
          </c:extLst>
        </c:ser>
        <c:ser>
          <c:idx val="2"/>
          <c:order val="2"/>
          <c:tx>
            <c:strRef>
              <c:f>'Company Analysis'!$V$6</c:f>
              <c:strCache>
                <c:ptCount val="1"/>
                <c:pt idx="0">
                  <c:v>Lowest Salary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Analysis'!$S$7:$S$11</c:f>
              <c:strCache>
                <c:ptCount val="5"/>
                <c:pt idx="0">
                  <c:v>Sales</c:v>
                </c:pt>
                <c:pt idx="1">
                  <c:v>Procurement</c:v>
                </c:pt>
                <c:pt idx="2">
                  <c:v>Finance</c:v>
                </c:pt>
                <c:pt idx="3">
                  <c:v>Website</c:v>
                </c:pt>
                <c:pt idx="4">
                  <c:v>HR</c:v>
                </c:pt>
              </c:strCache>
            </c:strRef>
          </c:cat>
          <c:val>
            <c:numRef>
              <c:f>'Company Analysis'!$V$7:$V$11</c:f>
              <c:numCache>
                <c:formatCode>"$"#,##0</c:formatCode>
                <c:ptCount val="5"/>
                <c:pt idx="0">
                  <c:v>36040</c:v>
                </c:pt>
                <c:pt idx="1">
                  <c:v>37920</c:v>
                </c:pt>
                <c:pt idx="2">
                  <c:v>48170</c:v>
                </c:pt>
                <c:pt idx="3">
                  <c:v>33920</c:v>
                </c:pt>
                <c:pt idx="4">
                  <c:v>45510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49-402C-9A45-1DF0246353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18648015"/>
        <c:axId val="1418646095"/>
      </c:barChart>
      <c:catAx>
        <c:axId val="141864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46095"/>
        <c:crosses val="autoZero"/>
        <c:auto val="1"/>
        <c:lblAlgn val="ctr"/>
        <c:lblOffset val="100"/>
        <c:noMultiLvlLbl val="0"/>
      </c:catAx>
      <c:valAx>
        <c:axId val="14186460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41864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Salary Distribution By 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Departments_analysis!$D$2:$D$18</c:f>
              <c:numCache>
                <c:formatCode>General</c:formatCode>
                <c:ptCount val="17"/>
                <c:pt idx="0">
                  <c:v>22</c:v>
                </c:pt>
                <c:pt idx="1">
                  <c:v>28</c:v>
                </c:pt>
                <c:pt idx="2">
                  <c:v>32</c:v>
                </c:pt>
                <c:pt idx="3">
                  <c:v>25</c:v>
                </c:pt>
                <c:pt idx="4">
                  <c:v>36</c:v>
                </c:pt>
                <c:pt idx="5">
                  <c:v>34</c:v>
                </c:pt>
                <c:pt idx="6">
                  <c:v>20</c:v>
                </c:pt>
                <c:pt idx="7">
                  <c:v>38</c:v>
                </c:pt>
                <c:pt idx="8">
                  <c:v>27</c:v>
                </c:pt>
                <c:pt idx="9">
                  <c:v>38</c:v>
                </c:pt>
                <c:pt idx="10">
                  <c:v>25</c:v>
                </c:pt>
                <c:pt idx="11">
                  <c:v>43</c:v>
                </c:pt>
                <c:pt idx="12">
                  <c:v>28</c:v>
                </c:pt>
                <c:pt idx="13">
                  <c:v>33</c:v>
                </c:pt>
                <c:pt idx="14">
                  <c:v>22</c:v>
                </c:pt>
                <c:pt idx="15">
                  <c:v>28</c:v>
                </c:pt>
                <c:pt idx="16">
                  <c:v>32</c:v>
                </c:pt>
              </c:numCache>
            </c:numRef>
          </c:xVal>
          <c:yVal>
            <c:numRef>
              <c:f>Departments_analysis!$F$2:$F$18</c:f>
              <c:numCache>
                <c:formatCode>General</c:formatCode>
                <c:ptCount val="17"/>
                <c:pt idx="0">
                  <c:v>112780</c:v>
                </c:pt>
                <c:pt idx="1">
                  <c:v>53240</c:v>
                </c:pt>
                <c:pt idx="2">
                  <c:v>53540</c:v>
                </c:pt>
                <c:pt idx="3">
                  <c:v>65700</c:v>
                </c:pt>
                <c:pt idx="4">
                  <c:v>78540</c:v>
                </c:pt>
                <c:pt idx="5">
                  <c:v>49630</c:v>
                </c:pt>
                <c:pt idx="6">
                  <c:v>68900</c:v>
                </c:pt>
                <c:pt idx="7">
                  <c:v>109160</c:v>
                </c:pt>
                <c:pt idx="8">
                  <c:v>54970</c:v>
                </c:pt>
                <c:pt idx="9">
                  <c:v>56870</c:v>
                </c:pt>
                <c:pt idx="10">
                  <c:v>92700</c:v>
                </c:pt>
                <c:pt idx="11">
                  <c:v>36040</c:v>
                </c:pt>
                <c:pt idx="12">
                  <c:v>43510</c:v>
                </c:pt>
                <c:pt idx="13">
                  <c:v>74550</c:v>
                </c:pt>
                <c:pt idx="14">
                  <c:v>112780</c:v>
                </c:pt>
                <c:pt idx="15">
                  <c:v>53240</c:v>
                </c:pt>
                <c:pt idx="16">
                  <c:v>53540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Helper!#REF!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877-414B-83D1-F7A4B13E7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244432"/>
        <c:axId val="280246352"/>
      </c:scatterChart>
      <c:valAx>
        <c:axId val="28024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46352"/>
        <c:crosses val="autoZero"/>
        <c:crossBetween val="midCat"/>
      </c:valAx>
      <c:valAx>
        <c:axId val="2802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Salary Distribution By Gender</a:t>
            </a:r>
          </a:p>
        </c:rich>
      </c:tx>
      <c:layout>
        <c:manualLayout>
          <c:xMode val="edge"/>
          <c:yMode val="edge"/>
          <c:x val="0.1816078463946495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Departments_analysis!$I$16</c:f>
              <c:strCache>
                <c:ptCount val="1"/>
                <c:pt idx="0">
                  <c:v>Average Salary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Departments_analysis!$J$15:$L$15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Departments_analysis!$J$16:$L$16</c:f>
              <c:numCache>
                <c:formatCode>"$"#,##0.00</c:formatCode>
                <c:ptCount val="3"/>
                <c:pt idx="0">
                  <c:v>67490</c:v>
                </c:pt>
                <c:pt idx="1">
                  <c:v>70285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E-458C-B130-A749CBEE706B}"/>
            </c:ext>
          </c:extLst>
        </c:ser>
        <c:ser>
          <c:idx val="1"/>
          <c:order val="1"/>
          <c:tx>
            <c:strRef>
              <c:f>Departments_analysis!$I$17</c:f>
              <c:strCache>
                <c:ptCount val="1"/>
                <c:pt idx="0">
                  <c:v>Highest Salary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Departments_analysis!$J$15:$L$15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Departments_analysis!$J$17:$L$17</c:f>
              <c:numCache>
                <c:formatCode>"$"#,##0.00</c:formatCode>
                <c:ptCount val="3"/>
                <c:pt idx="0">
                  <c:v>112780</c:v>
                </c:pt>
                <c:pt idx="1">
                  <c:v>109160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E-458C-B130-A749CBEE706B}"/>
            </c:ext>
          </c:extLst>
        </c:ser>
        <c:ser>
          <c:idx val="2"/>
          <c:order val="2"/>
          <c:tx>
            <c:strRef>
              <c:f>Departments_analysis!$I$18</c:f>
              <c:strCache>
                <c:ptCount val="1"/>
                <c:pt idx="0">
                  <c:v>Lowest Salary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Departments_analysis!$J$15:$L$15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Departments_analysis!$J$18:$L$18</c:f>
              <c:numCache>
                <c:formatCode>"$"#,##0.00</c:formatCode>
                <c:ptCount val="3"/>
                <c:pt idx="0">
                  <c:v>36040</c:v>
                </c:pt>
                <c:pt idx="1">
                  <c:v>49630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E-458C-B130-A749CBEE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23206016"/>
        <c:axId val="2023220416"/>
      </c:barChart>
      <c:catAx>
        <c:axId val="20232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20416"/>
        <c:crosses val="autoZero"/>
        <c:auto val="1"/>
        <c:lblAlgn val="ctr"/>
        <c:lblOffset val="100"/>
        <c:noMultiLvlLbl val="0"/>
      </c:catAx>
      <c:valAx>
        <c:axId val="202322041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0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Employee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Departments_analysis!$I$22</c:f>
              <c:strCache>
                <c:ptCount val="1"/>
                <c:pt idx="0">
                  <c:v>Male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Departments_analysis!$J$21:$O$21</c:f>
              <c:strCache>
                <c:ptCount val="6"/>
                <c:pt idx="0">
                  <c:v>Exceptional</c:v>
                </c:pt>
                <c:pt idx="1">
                  <c:v>Average</c:v>
                </c:pt>
                <c:pt idx="2">
                  <c:v>Above average</c:v>
                </c:pt>
                <c:pt idx="3">
                  <c:v>Poor</c:v>
                </c:pt>
                <c:pt idx="4">
                  <c:v>Very poor</c:v>
                </c:pt>
                <c:pt idx="5">
                  <c:v>Total</c:v>
                </c:pt>
              </c:strCache>
            </c:strRef>
          </c:cat>
          <c:val>
            <c:numRef>
              <c:f>Departments_analysis!$J$22:$O$22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4-41E5-8DF0-4CAD187DD4EB}"/>
            </c:ext>
          </c:extLst>
        </c:ser>
        <c:ser>
          <c:idx val="1"/>
          <c:order val="1"/>
          <c:tx>
            <c:strRef>
              <c:f>Departments_analysis!$I$23</c:f>
              <c:strCache>
                <c:ptCount val="1"/>
                <c:pt idx="0">
                  <c:v>Female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Departments_analysis!$J$21:$O$21</c:f>
              <c:strCache>
                <c:ptCount val="6"/>
                <c:pt idx="0">
                  <c:v>Exceptional</c:v>
                </c:pt>
                <c:pt idx="1">
                  <c:v>Average</c:v>
                </c:pt>
                <c:pt idx="2">
                  <c:v>Above average</c:v>
                </c:pt>
                <c:pt idx="3">
                  <c:v>Poor</c:v>
                </c:pt>
                <c:pt idx="4">
                  <c:v>Very poor</c:v>
                </c:pt>
                <c:pt idx="5">
                  <c:v>Total</c:v>
                </c:pt>
              </c:strCache>
            </c:strRef>
          </c:cat>
          <c:val>
            <c:numRef>
              <c:f>Departments_analysis!$J$23:$O$23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4-41E5-8DF0-4CAD187DD4EB}"/>
            </c:ext>
          </c:extLst>
        </c:ser>
        <c:ser>
          <c:idx val="2"/>
          <c:order val="2"/>
          <c:tx>
            <c:strRef>
              <c:f>Departments_analysis!$I$24</c:f>
              <c:strCache>
                <c:ptCount val="1"/>
                <c:pt idx="0">
                  <c:v>Other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Departments_analysis!$J$21:$O$21</c:f>
              <c:strCache>
                <c:ptCount val="6"/>
                <c:pt idx="0">
                  <c:v>Exceptional</c:v>
                </c:pt>
                <c:pt idx="1">
                  <c:v>Average</c:v>
                </c:pt>
                <c:pt idx="2">
                  <c:v>Above average</c:v>
                </c:pt>
                <c:pt idx="3">
                  <c:v>Poor</c:v>
                </c:pt>
                <c:pt idx="4">
                  <c:v>Very poor</c:v>
                </c:pt>
                <c:pt idx="5">
                  <c:v>Total</c:v>
                </c:pt>
              </c:strCache>
            </c:strRef>
          </c:cat>
          <c:val>
            <c:numRef>
              <c:f>Departments_analysis!$J$24:$O$24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4-41E5-8DF0-4CAD187D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845984"/>
        <c:axId val="685846944"/>
      </c:barChart>
      <c:lineChart>
        <c:grouping val="standard"/>
        <c:varyColors val="0"/>
        <c:ser>
          <c:idx val="3"/>
          <c:order val="3"/>
          <c:tx>
            <c:strRef>
              <c:f>Departments_analysis!$I$25</c:f>
              <c:strCache>
                <c:ptCount val="1"/>
                <c:pt idx="0">
                  <c:v>Sub-Total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Departments_analysis!$J$21:$O$21</c:f>
              <c:strCache>
                <c:ptCount val="6"/>
                <c:pt idx="0">
                  <c:v>Exceptional</c:v>
                </c:pt>
                <c:pt idx="1">
                  <c:v>Average</c:v>
                </c:pt>
                <c:pt idx="2">
                  <c:v>Above average</c:v>
                </c:pt>
                <c:pt idx="3">
                  <c:v>Poor</c:v>
                </c:pt>
                <c:pt idx="4">
                  <c:v>Very poor</c:v>
                </c:pt>
                <c:pt idx="5">
                  <c:v>Total</c:v>
                </c:pt>
              </c:strCache>
            </c:strRef>
          </c:cat>
          <c:val>
            <c:numRef>
              <c:f>Departments_analysis!$J$25:$O$25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C4-41E5-8DF0-4CAD187D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845984"/>
        <c:axId val="685846944"/>
      </c:lineChart>
      <c:catAx>
        <c:axId val="68584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846944"/>
        <c:crosses val="autoZero"/>
        <c:auto val="1"/>
        <c:lblAlgn val="ctr"/>
        <c:lblOffset val="100"/>
        <c:noMultiLvlLbl val="0"/>
      </c:catAx>
      <c:valAx>
        <c:axId val="68584694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84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GENDER DISTRIBUTION FOR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Departments_analysis!$I$10</c:f>
              <c:strCache>
                <c:ptCount val="1"/>
                <c:pt idx="0">
                  <c:v>Gender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B9-421C-AA09-D8FAE8F325B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B9-421C-AA09-D8FAE8F325B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B9-421C-AA09-D8FAE8F32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Departments_analysis!$J$9:$L$9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Departments_analysis!$J$10:$L$10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B9-421C-AA09-D8FAE8F325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Salary Distribution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analysis_questions!$G$1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analysis_questions!$E$2:$E$102</c:f>
              <c:numCache>
                <c:formatCode>0</c:formatCode>
                <c:ptCount val="101"/>
                <c:pt idx="0">
                  <c:v>22</c:v>
                </c:pt>
                <c:pt idx="1">
                  <c:v>46</c:v>
                </c:pt>
                <c:pt idx="2">
                  <c:v>28</c:v>
                </c:pt>
                <c:pt idx="3">
                  <c:v>37</c:v>
                </c:pt>
                <c:pt idx="4">
                  <c:v>32</c:v>
                </c:pt>
                <c:pt idx="5">
                  <c:v>30</c:v>
                </c:pt>
                <c:pt idx="6">
                  <c:v>33</c:v>
                </c:pt>
                <c:pt idx="7">
                  <c:v>24</c:v>
                </c:pt>
                <c:pt idx="8">
                  <c:v>33</c:v>
                </c:pt>
                <c:pt idx="9">
                  <c:v>27</c:v>
                </c:pt>
                <c:pt idx="10">
                  <c:v>29</c:v>
                </c:pt>
                <c:pt idx="11">
                  <c:v>25</c:v>
                </c:pt>
                <c:pt idx="12">
                  <c:v>37</c:v>
                </c:pt>
                <c:pt idx="13">
                  <c:v>20</c:v>
                </c:pt>
                <c:pt idx="14">
                  <c:v>32</c:v>
                </c:pt>
                <c:pt idx="15">
                  <c:v>40</c:v>
                </c:pt>
                <c:pt idx="16">
                  <c:v>21</c:v>
                </c:pt>
                <c:pt idx="17">
                  <c:v>21</c:v>
                </c:pt>
                <c:pt idx="18">
                  <c:v>31</c:v>
                </c:pt>
                <c:pt idx="19">
                  <c:v>21</c:v>
                </c:pt>
                <c:pt idx="20">
                  <c:v>34</c:v>
                </c:pt>
                <c:pt idx="21">
                  <c:v>30</c:v>
                </c:pt>
                <c:pt idx="22">
                  <c:v>31</c:v>
                </c:pt>
                <c:pt idx="23">
                  <c:v>27</c:v>
                </c:pt>
                <c:pt idx="24">
                  <c:v>30</c:v>
                </c:pt>
                <c:pt idx="25">
                  <c:v>42</c:v>
                </c:pt>
                <c:pt idx="26">
                  <c:v>40</c:v>
                </c:pt>
                <c:pt idx="27">
                  <c:v>29</c:v>
                </c:pt>
                <c:pt idx="28">
                  <c:v>28</c:v>
                </c:pt>
                <c:pt idx="29">
                  <c:v>34</c:v>
                </c:pt>
                <c:pt idx="30">
                  <c:v>33</c:v>
                </c:pt>
                <c:pt idx="31">
                  <c:v>33</c:v>
                </c:pt>
                <c:pt idx="32">
                  <c:v>36</c:v>
                </c:pt>
                <c:pt idx="33">
                  <c:v>25</c:v>
                </c:pt>
                <c:pt idx="34">
                  <c:v>34</c:v>
                </c:pt>
                <c:pt idx="35">
                  <c:v>28</c:v>
                </c:pt>
                <c:pt idx="36">
                  <c:v>33</c:v>
                </c:pt>
                <c:pt idx="37">
                  <c:v>31</c:v>
                </c:pt>
                <c:pt idx="38">
                  <c:v>31</c:v>
                </c:pt>
                <c:pt idx="39">
                  <c:v>24</c:v>
                </c:pt>
                <c:pt idx="40">
                  <c:v>36</c:v>
                </c:pt>
                <c:pt idx="41">
                  <c:v>33</c:v>
                </c:pt>
                <c:pt idx="42">
                  <c:v>27</c:v>
                </c:pt>
                <c:pt idx="43">
                  <c:v>34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25</c:v>
                </c:pt>
                <c:pt idx="48">
                  <c:v>19</c:v>
                </c:pt>
                <c:pt idx="49">
                  <c:v>36</c:v>
                </c:pt>
                <c:pt idx="50">
                  <c:v>28</c:v>
                </c:pt>
                <c:pt idx="51">
                  <c:v>32</c:v>
                </c:pt>
                <c:pt idx="52">
                  <c:v>34</c:v>
                </c:pt>
                <c:pt idx="53">
                  <c:v>36</c:v>
                </c:pt>
                <c:pt idx="54">
                  <c:v>30</c:v>
                </c:pt>
                <c:pt idx="55">
                  <c:v>36</c:v>
                </c:pt>
                <c:pt idx="56">
                  <c:v>38</c:v>
                </c:pt>
                <c:pt idx="57">
                  <c:v>27</c:v>
                </c:pt>
                <c:pt idx="58">
                  <c:v>30</c:v>
                </c:pt>
                <c:pt idx="59">
                  <c:v>37</c:v>
                </c:pt>
                <c:pt idx="60">
                  <c:v>22</c:v>
                </c:pt>
                <c:pt idx="61">
                  <c:v>43</c:v>
                </c:pt>
                <c:pt idx="62">
                  <c:v>32</c:v>
                </c:pt>
                <c:pt idx="63">
                  <c:v>28</c:v>
                </c:pt>
                <c:pt idx="64">
                  <c:v>27</c:v>
                </c:pt>
                <c:pt idx="65">
                  <c:v>26</c:v>
                </c:pt>
                <c:pt idx="66">
                  <c:v>38</c:v>
                </c:pt>
                <c:pt idx="67">
                  <c:v>25</c:v>
                </c:pt>
                <c:pt idx="68">
                  <c:v>21</c:v>
                </c:pt>
                <c:pt idx="69">
                  <c:v>26</c:v>
                </c:pt>
                <c:pt idx="70">
                  <c:v>30</c:v>
                </c:pt>
                <c:pt idx="71">
                  <c:v>28</c:v>
                </c:pt>
                <c:pt idx="72">
                  <c:v>37</c:v>
                </c:pt>
                <c:pt idx="73">
                  <c:v>24</c:v>
                </c:pt>
                <c:pt idx="74">
                  <c:v>30</c:v>
                </c:pt>
                <c:pt idx="75">
                  <c:v>21</c:v>
                </c:pt>
                <c:pt idx="76">
                  <c:v>23</c:v>
                </c:pt>
                <c:pt idx="77">
                  <c:v>35</c:v>
                </c:pt>
                <c:pt idx="78">
                  <c:v>27</c:v>
                </c:pt>
                <c:pt idx="79">
                  <c:v>43</c:v>
                </c:pt>
                <c:pt idx="80">
                  <c:v>40</c:v>
                </c:pt>
                <c:pt idx="81">
                  <c:v>30</c:v>
                </c:pt>
                <c:pt idx="82">
                  <c:v>34</c:v>
                </c:pt>
                <c:pt idx="83">
                  <c:v>28</c:v>
                </c:pt>
                <c:pt idx="84">
                  <c:v>33</c:v>
                </c:pt>
                <c:pt idx="85">
                  <c:v>33</c:v>
                </c:pt>
                <c:pt idx="86">
                  <c:v>32</c:v>
                </c:pt>
                <c:pt idx="87">
                  <c:v>33</c:v>
                </c:pt>
                <c:pt idx="88">
                  <c:v>33</c:v>
                </c:pt>
                <c:pt idx="89">
                  <c:v>30</c:v>
                </c:pt>
                <c:pt idx="90">
                  <c:v>42</c:v>
                </c:pt>
                <c:pt idx="91">
                  <c:v>26</c:v>
                </c:pt>
                <c:pt idx="92">
                  <c:v>22</c:v>
                </c:pt>
                <c:pt idx="93">
                  <c:v>46</c:v>
                </c:pt>
                <c:pt idx="94">
                  <c:v>28</c:v>
                </c:pt>
                <c:pt idx="95">
                  <c:v>37</c:v>
                </c:pt>
                <c:pt idx="96">
                  <c:v>32</c:v>
                </c:pt>
                <c:pt idx="97">
                  <c:v>30</c:v>
                </c:pt>
                <c:pt idx="98">
                  <c:v>33</c:v>
                </c:pt>
                <c:pt idx="99">
                  <c:v>24</c:v>
                </c:pt>
              </c:numCache>
            </c:numRef>
          </c:xVal>
          <c:yVal>
            <c:numRef>
              <c:f>analysis_questions!$G$2:$G$102</c:f>
              <c:numCache>
                <c:formatCode>"$"#,##0</c:formatCode>
                <c:ptCount val="101"/>
                <c:pt idx="0">
                  <c:v>112780</c:v>
                </c:pt>
                <c:pt idx="1">
                  <c:v>70610</c:v>
                </c:pt>
                <c:pt idx="2">
                  <c:v>53240</c:v>
                </c:pt>
                <c:pt idx="3">
                  <c:v>115440</c:v>
                </c:pt>
                <c:pt idx="4">
                  <c:v>53540</c:v>
                </c:pt>
                <c:pt idx="5">
                  <c:v>112570</c:v>
                </c:pt>
                <c:pt idx="6">
                  <c:v>48530</c:v>
                </c:pt>
                <c:pt idx="7">
                  <c:v>62780</c:v>
                </c:pt>
                <c:pt idx="8">
                  <c:v>53870</c:v>
                </c:pt>
                <c:pt idx="9">
                  <c:v>119110</c:v>
                </c:pt>
                <c:pt idx="10">
                  <c:v>112110</c:v>
                </c:pt>
                <c:pt idx="11">
                  <c:v>65700</c:v>
                </c:pt>
                <c:pt idx="12">
                  <c:v>69070</c:v>
                </c:pt>
                <c:pt idx="13">
                  <c:v>107700</c:v>
                </c:pt>
                <c:pt idx="14">
                  <c:v>43840</c:v>
                </c:pt>
                <c:pt idx="15">
                  <c:v>99750</c:v>
                </c:pt>
                <c:pt idx="16">
                  <c:v>37920</c:v>
                </c:pt>
                <c:pt idx="17">
                  <c:v>57090</c:v>
                </c:pt>
                <c:pt idx="18">
                  <c:v>41980</c:v>
                </c:pt>
                <c:pt idx="19">
                  <c:v>75880</c:v>
                </c:pt>
                <c:pt idx="20">
                  <c:v>58940</c:v>
                </c:pt>
                <c:pt idx="21">
                  <c:v>67910</c:v>
                </c:pt>
                <c:pt idx="22">
                  <c:v>58100</c:v>
                </c:pt>
                <c:pt idx="23">
                  <c:v>48980</c:v>
                </c:pt>
                <c:pt idx="24">
                  <c:v>64000</c:v>
                </c:pt>
                <c:pt idx="25">
                  <c:v>75000</c:v>
                </c:pt>
                <c:pt idx="26">
                  <c:v>87620</c:v>
                </c:pt>
                <c:pt idx="27">
                  <c:v>34980</c:v>
                </c:pt>
                <c:pt idx="28">
                  <c:v>75970</c:v>
                </c:pt>
                <c:pt idx="29">
                  <c:v>60130</c:v>
                </c:pt>
                <c:pt idx="30">
                  <c:v>75480</c:v>
                </c:pt>
                <c:pt idx="31">
                  <c:v>115920</c:v>
                </c:pt>
                <c:pt idx="32">
                  <c:v>78540</c:v>
                </c:pt>
                <c:pt idx="33">
                  <c:v>109190</c:v>
                </c:pt>
                <c:pt idx="34">
                  <c:v>49630</c:v>
                </c:pt>
                <c:pt idx="35">
                  <c:v>99970</c:v>
                </c:pt>
                <c:pt idx="36">
                  <c:v>96140</c:v>
                </c:pt>
                <c:pt idx="37">
                  <c:v>103550</c:v>
                </c:pt>
                <c:pt idx="38">
                  <c:v>48950</c:v>
                </c:pt>
                <c:pt idx="39">
                  <c:v>52610</c:v>
                </c:pt>
                <c:pt idx="40">
                  <c:v>78390</c:v>
                </c:pt>
                <c:pt idx="41">
                  <c:v>86570</c:v>
                </c:pt>
                <c:pt idx="42">
                  <c:v>83750</c:v>
                </c:pt>
                <c:pt idx="43">
                  <c:v>92450</c:v>
                </c:pt>
                <c:pt idx="44">
                  <c:v>112650</c:v>
                </c:pt>
                <c:pt idx="45">
                  <c:v>79570</c:v>
                </c:pt>
                <c:pt idx="46">
                  <c:v>68900</c:v>
                </c:pt>
                <c:pt idx="47">
                  <c:v>80700</c:v>
                </c:pt>
                <c:pt idx="48">
                  <c:v>58960</c:v>
                </c:pt>
                <c:pt idx="49">
                  <c:v>118840</c:v>
                </c:pt>
                <c:pt idx="50">
                  <c:v>48170</c:v>
                </c:pt>
                <c:pt idx="51">
                  <c:v>45510</c:v>
                </c:pt>
                <c:pt idx="52">
                  <c:v>112650</c:v>
                </c:pt>
                <c:pt idx="53">
                  <c:v>114890</c:v>
                </c:pt>
                <c:pt idx="54">
                  <c:v>69710</c:v>
                </c:pt>
                <c:pt idx="55">
                  <c:v>71380</c:v>
                </c:pt>
                <c:pt idx="56">
                  <c:v>109160</c:v>
                </c:pt>
                <c:pt idx="57">
                  <c:v>113280</c:v>
                </c:pt>
                <c:pt idx="58">
                  <c:v>69120</c:v>
                </c:pt>
                <c:pt idx="59">
                  <c:v>118100</c:v>
                </c:pt>
                <c:pt idx="60">
                  <c:v>76900</c:v>
                </c:pt>
                <c:pt idx="61">
                  <c:v>114870</c:v>
                </c:pt>
                <c:pt idx="62">
                  <c:v>91310</c:v>
                </c:pt>
                <c:pt idx="63">
                  <c:v>104770</c:v>
                </c:pt>
                <c:pt idx="64">
                  <c:v>54970</c:v>
                </c:pt>
                <c:pt idx="65">
                  <c:v>90700</c:v>
                </c:pt>
                <c:pt idx="66">
                  <c:v>56870</c:v>
                </c:pt>
                <c:pt idx="67">
                  <c:v>92700</c:v>
                </c:pt>
                <c:pt idx="68">
                  <c:v>65920</c:v>
                </c:pt>
                <c:pt idx="69">
                  <c:v>47360</c:v>
                </c:pt>
                <c:pt idx="70">
                  <c:v>60570</c:v>
                </c:pt>
                <c:pt idx="71">
                  <c:v>104120</c:v>
                </c:pt>
                <c:pt idx="72">
                  <c:v>88050</c:v>
                </c:pt>
                <c:pt idx="73">
                  <c:v>100420</c:v>
                </c:pt>
                <c:pt idx="74">
                  <c:v>114180</c:v>
                </c:pt>
                <c:pt idx="75">
                  <c:v>33920</c:v>
                </c:pt>
                <c:pt idx="76">
                  <c:v>106460</c:v>
                </c:pt>
                <c:pt idx="77">
                  <c:v>40400</c:v>
                </c:pt>
                <c:pt idx="78">
                  <c:v>91650</c:v>
                </c:pt>
                <c:pt idx="79">
                  <c:v>36040</c:v>
                </c:pt>
                <c:pt idx="80">
                  <c:v>104410</c:v>
                </c:pt>
                <c:pt idx="81">
                  <c:v>96800</c:v>
                </c:pt>
                <c:pt idx="82">
                  <c:v>85000</c:v>
                </c:pt>
                <c:pt idx="83">
                  <c:v>43510</c:v>
                </c:pt>
                <c:pt idx="84">
                  <c:v>59430</c:v>
                </c:pt>
                <c:pt idx="85">
                  <c:v>65360</c:v>
                </c:pt>
                <c:pt idx="86">
                  <c:v>41570</c:v>
                </c:pt>
                <c:pt idx="87">
                  <c:v>75280</c:v>
                </c:pt>
                <c:pt idx="88">
                  <c:v>74550</c:v>
                </c:pt>
                <c:pt idx="89">
                  <c:v>67950</c:v>
                </c:pt>
                <c:pt idx="90">
                  <c:v>70270</c:v>
                </c:pt>
                <c:pt idx="91">
                  <c:v>53540</c:v>
                </c:pt>
                <c:pt idx="92">
                  <c:v>112780</c:v>
                </c:pt>
                <c:pt idx="93">
                  <c:v>70610</c:v>
                </c:pt>
                <c:pt idx="94">
                  <c:v>53240</c:v>
                </c:pt>
                <c:pt idx="95">
                  <c:v>115440</c:v>
                </c:pt>
                <c:pt idx="96">
                  <c:v>53540</c:v>
                </c:pt>
                <c:pt idx="97">
                  <c:v>112570</c:v>
                </c:pt>
                <c:pt idx="98">
                  <c:v>48530</c:v>
                </c:pt>
                <c:pt idx="99">
                  <c:v>62780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2-4DD1-90F2-1D79A740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86591"/>
        <c:axId val="810785631"/>
      </c:scatterChart>
      <c:valAx>
        <c:axId val="81078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85631"/>
        <c:crosses val="autoZero"/>
        <c:crossBetween val="midCat"/>
      </c:valAx>
      <c:valAx>
        <c:axId val="8107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8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'Company Analysis'!$N$11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'Company Analysis'!$M$12:$M$14</c:f>
              <c:strCache>
                <c:ptCount val="3"/>
                <c:pt idx="0">
                  <c:v>Average Salary</c:v>
                </c:pt>
                <c:pt idx="1">
                  <c:v>Highest Salary</c:v>
                </c:pt>
                <c:pt idx="2">
                  <c:v>Lowest Salary</c:v>
                </c:pt>
              </c:strCache>
            </c:strRef>
          </c:cat>
          <c:val>
            <c:numRef>
              <c:f>'Company Analysis'!$N$12:$N$14</c:f>
              <c:numCache>
                <c:formatCode>"$"#,##0</c:formatCode>
                <c:ptCount val="3"/>
                <c:pt idx="0">
                  <c:v>75010.408163265311</c:v>
                </c:pt>
                <c:pt idx="1">
                  <c:v>118840</c:v>
                </c:pt>
                <c:pt idx="2">
                  <c:v>36040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8-496F-9ADE-045A63788A84}"/>
            </c:ext>
          </c:extLst>
        </c:ser>
        <c:ser>
          <c:idx val="1"/>
          <c:order val="1"/>
          <c:tx>
            <c:strRef>
              <c:f>'Company Analysis'!$O$11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'Company Analysis'!$M$12:$M$14</c:f>
              <c:strCache>
                <c:ptCount val="3"/>
                <c:pt idx="0">
                  <c:v>Average Salary</c:v>
                </c:pt>
                <c:pt idx="1">
                  <c:v>Highest Salary</c:v>
                </c:pt>
                <c:pt idx="2">
                  <c:v>Lowest Salary</c:v>
                </c:pt>
              </c:strCache>
            </c:strRef>
          </c:cat>
          <c:val>
            <c:numRef>
              <c:f>'Company Analysis'!$O$12:$O$14</c:f>
              <c:numCache>
                <c:formatCode>"$"#,##0</c:formatCode>
                <c:ptCount val="3"/>
                <c:pt idx="0">
                  <c:v>78148.043478260865</c:v>
                </c:pt>
                <c:pt idx="1">
                  <c:v>119110</c:v>
                </c:pt>
                <c:pt idx="2">
                  <c:v>33920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8-496F-9ADE-045A63788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5327663"/>
        <c:axId val="1485329583"/>
      </c:barChart>
      <c:catAx>
        <c:axId val="14853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29583"/>
        <c:crosses val="autoZero"/>
        <c:auto val="1"/>
        <c:lblAlgn val="ctr"/>
        <c:lblOffset val="100"/>
        <c:noMultiLvlLbl val="0"/>
      </c:catAx>
      <c:valAx>
        <c:axId val="14853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Distribution by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Analysis'!$N$18</c:f>
              <c:strCache>
                <c:ptCount val="1"/>
                <c:pt idx="0">
                  <c:v>Average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'Company Analysis'!$M$19:$M$23</c:f>
              <c:strCache>
                <c:ptCount val="5"/>
                <c:pt idx="0">
                  <c:v>Above average</c:v>
                </c:pt>
                <c:pt idx="1">
                  <c:v>Average</c:v>
                </c:pt>
                <c:pt idx="2">
                  <c:v>Poor</c:v>
                </c:pt>
                <c:pt idx="3">
                  <c:v>Exceptional</c:v>
                </c:pt>
                <c:pt idx="4">
                  <c:v>Very poor</c:v>
                </c:pt>
              </c:strCache>
            </c:strRef>
          </c:cat>
          <c:val>
            <c:numRef>
              <c:f>'Company Analysis'!$N$19:$N$23</c:f>
              <c:numCache>
                <c:formatCode>"$"#,##0.00</c:formatCode>
                <c:ptCount val="5"/>
                <c:pt idx="0">
                  <c:v>76720</c:v>
                </c:pt>
                <c:pt idx="1">
                  <c:v>76618.648648648654</c:v>
                </c:pt>
                <c:pt idx="2">
                  <c:v>82262.222222222219</c:v>
                </c:pt>
                <c:pt idx="3">
                  <c:v>92080</c:v>
                </c:pt>
                <c:pt idx="4">
                  <c:v>77423.333333333328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9-456D-ACF6-EC7A38CBD4DA}"/>
            </c:ext>
          </c:extLst>
        </c:ser>
        <c:ser>
          <c:idx val="1"/>
          <c:order val="1"/>
          <c:tx>
            <c:strRef>
              <c:f>'Company Analysis'!$O$18</c:f>
              <c:strCache>
                <c:ptCount val="1"/>
                <c:pt idx="0">
                  <c:v>Highest Salary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'Company Analysis'!$M$19:$M$23</c:f>
              <c:strCache>
                <c:ptCount val="5"/>
                <c:pt idx="0">
                  <c:v>Above average</c:v>
                </c:pt>
                <c:pt idx="1">
                  <c:v>Average</c:v>
                </c:pt>
                <c:pt idx="2">
                  <c:v>Poor</c:v>
                </c:pt>
                <c:pt idx="3">
                  <c:v>Exceptional</c:v>
                </c:pt>
                <c:pt idx="4">
                  <c:v>Very poor</c:v>
                </c:pt>
              </c:strCache>
            </c:strRef>
          </c:cat>
          <c:val>
            <c:numRef>
              <c:f>'Company Analysis'!$O$19:$O$23</c:f>
              <c:numCache>
                <c:formatCode>General</c:formatCode>
                <c:ptCount val="5"/>
                <c:pt idx="0">
                  <c:v>112780</c:v>
                </c:pt>
                <c:pt idx="1">
                  <c:v>119110</c:v>
                </c:pt>
                <c:pt idx="2">
                  <c:v>115440</c:v>
                </c:pt>
                <c:pt idx="3">
                  <c:v>109160</c:v>
                </c:pt>
                <c:pt idx="4">
                  <c:v>113280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9-456D-ACF6-EC7A38CBD4DA}"/>
            </c:ext>
          </c:extLst>
        </c:ser>
        <c:ser>
          <c:idx val="2"/>
          <c:order val="2"/>
          <c:tx>
            <c:strRef>
              <c:f>'Company Analysis'!$P$18</c:f>
              <c:strCache>
                <c:ptCount val="1"/>
                <c:pt idx="0">
                  <c:v>Lowest Salary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'Company Analysis'!$M$19:$M$23</c:f>
              <c:strCache>
                <c:ptCount val="5"/>
                <c:pt idx="0">
                  <c:v>Above average</c:v>
                </c:pt>
                <c:pt idx="1">
                  <c:v>Average</c:v>
                </c:pt>
                <c:pt idx="2">
                  <c:v>Poor</c:v>
                </c:pt>
                <c:pt idx="3">
                  <c:v>Exceptional</c:v>
                </c:pt>
                <c:pt idx="4">
                  <c:v>Very poor</c:v>
                </c:pt>
              </c:strCache>
            </c:strRef>
          </c:cat>
          <c:val>
            <c:numRef>
              <c:f>'Company Analysis'!$P$19:$P$23</c:f>
              <c:numCache>
                <c:formatCode>General</c:formatCode>
                <c:ptCount val="5"/>
                <c:pt idx="0">
                  <c:v>43840</c:v>
                </c:pt>
                <c:pt idx="1">
                  <c:v>33920</c:v>
                </c:pt>
                <c:pt idx="2">
                  <c:v>49630</c:v>
                </c:pt>
                <c:pt idx="3">
                  <c:v>75000</c:v>
                </c:pt>
                <c:pt idx="4">
                  <c:v>43510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9-456D-ACF6-EC7A38CBD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96420367"/>
        <c:axId val="1296419407"/>
      </c:barChart>
      <c:catAx>
        <c:axId val="12964203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19407"/>
        <c:crosses val="autoZero"/>
        <c:auto val="1"/>
        <c:lblAlgn val="ctr"/>
        <c:lblOffset val="100"/>
        <c:noMultiLvlLbl val="0"/>
      </c:catAx>
      <c:valAx>
        <c:axId val="129641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Distribution By 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Analysis'!$T$6</c:f>
              <c:strCache>
                <c:ptCount val="1"/>
                <c:pt idx="0">
                  <c:v>Average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Analysis'!$S$7:$S$11</c:f>
              <c:strCache>
                <c:ptCount val="5"/>
                <c:pt idx="0">
                  <c:v>Sales</c:v>
                </c:pt>
                <c:pt idx="1">
                  <c:v>Procurement</c:v>
                </c:pt>
                <c:pt idx="2">
                  <c:v>Finance</c:v>
                </c:pt>
                <c:pt idx="3">
                  <c:v>Website</c:v>
                </c:pt>
                <c:pt idx="4">
                  <c:v>HR</c:v>
                </c:pt>
              </c:strCache>
            </c:strRef>
          </c:cat>
          <c:val>
            <c:numRef>
              <c:f>'Company Analysis'!$T$7:$T$11</c:f>
              <c:numCache>
                <c:formatCode>"$"#,##0.00</c:formatCode>
                <c:ptCount val="5"/>
                <c:pt idx="0">
                  <c:v>68805.294117647063</c:v>
                </c:pt>
                <c:pt idx="1">
                  <c:v>81850.645161290318</c:v>
                </c:pt>
                <c:pt idx="2">
                  <c:v>74621</c:v>
                </c:pt>
                <c:pt idx="3">
                  <c:v>78183.21428571429</c:v>
                </c:pt>
                <c:pt idx="4">
                  <c:v>89650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E-4049-9D05-5C20CE85E8F5}"/>
            </c:ext>
          </c:extLst>
        </c:ser>
        <c:ser>
          <c:idx val="1"/>
          <c:order val="1"/>
          <c:tx>
            <c:strRef>
              <c:f>'Company Analysis'!$U$6</c:f>
              <c:strCache>
                <c:ptCount val="1"/>
                <c:pt idx="0">
                  <c:v>Highest Salary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Analysis'!$S$7:$S$11</c:f>
              <c:strCache>
                <c:ptCount val="5"/>
                <c:pt idx="0">
                  <c:v>Sales</c:v>
                </c:pt>
                <c:pt idx="1">
                  <c:v>Procurement</c:v>
                </c:pt>
                <c:pt idx="2">
                  <c:v>Finance</c:v>
                </c:pt>
                <c:pt idx="3">
                  <c:v>Website</c:v>
                </c:pt>
                <c:pt idx="4">
                  <c:v>HR</c:v>
                </c:pt>
              </c:strCache>
            </c:strRef>
          </c:cat>
          <c:val>
            <c:numRef>
              <c:f>'Company Analysis'!$U$7:$U$11</c:f>
              <c:numCache>
                <c:formatCode>"$"#,##0</c:formatCode>
                <c:ptCount val="5"/>
                <c:pt idx="0">
                  <c:v>112780</c:v>
                </c:pt>
                <c:pt idx="1">
                  <c:v>115920</c:v>
                </c:pt>
                <c:pt idx="2">
                  <c:v>115440</c:v>
                </c:pt>
                <c:pt idx="3">
                  <c:v>118840</c:v>
                </c:pt>
                <c:pt idx="4">
                  <c:v>119110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E-4049-9D05-5C20CE85E8F5}"/>
            </c:ext>
          </c:extLst>
        </c:ser>
        <c:ser>
          <c:idx val="2"/>
          <c:order val="2"/>
          <c:tx>
            <c:strRef>
              <c:f>'Company Analysis'!$V$6</c:f>
              <c:strCache>
                <c:ptCount val="1"/>
                <c:pt idx="0">
                  <c:v>Lowest Salary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Analysis'!$S$7:$S$11</c:f>
              <c:strCache>
                <c:ptCount val="5"/>
                <c:pt idx="0">
                  <c:v>Sales</c:v>
                </c:pt>
                <c:pt idx="1">
                  <c:v>Procurement</c:v>
                </c:pt>
                <c:pt idx="2">
                  <c:v>Finance</c:v>
                </c:pt>
                <c:pt idx="3">
                  <c:v>Website</c:v>
                </c:pt>
                <c:pt idx="4">
                  <c:v>HR</c:v>
                </c:pt>
              </c:strCache>
            </c:strRef>
          </c:cat>
          <c:val>
            <c:numRef>
              <c:f>'Company Analysis'!$V$7:$V$11</c:f>
              <c:numCache>
                <c:formatCode>"$"#,##0</c:formatCode>
                <c:ptCount val="5"/>
                <c:pt idx="0">
                  <c:v>36040</c:v>
                </c:pt>
                <c:pt idx="1">
                  <c:v>37920</c:v>
                </c:pt>
                <c:pt idx="2">
                  <c:v>48170</c:v>
                </c:pt>
                <c:pt idx="3">
                  <c:v>33920</c:v>
                </c:pt>
                <c:pt idx="4">
                  <c:v>45510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E-4049-9D05-5C20CE85E8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18648015"/>
        <c:axId val="1418646095"/>
      </c:barChart>
      <c:catAx>
        <c:axId val="141864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46095"/>
        <c:crosses val="autoZero"/>
        <c:auto val="1"/>
        <c:lblAlgn val="ctr"/>
        <c:lblOffset val="100"/>
        <c:noMultiLvlLbl val="0"/>
      </c:catAx>
      <c:valAx>
        <c:axId val="14186460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41864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697149</xdr:rowOff>
    </xdr:from>
    <xdr:to>
      <xdr:col>4</xdr:col>
      <xdr:colOff>226978</xdr:colOff>
      <xdr:row>7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D0651C-16E1-C1E3-A938-5F05601B490A}"/>
            </a:ext>
          </a:extLst>
        </xdr:cNvPr>
        <xdr:cNvSpPr txBox="1"/>
      </xdr:nvSpPr>
      <xdr:spPr>
        <a:xfrm>
          <a:off x="858790" y="697149"/>
          <a:ext cx="1435316" cy="11501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Total Employees</a:t>
          </a:r>
        </a:p>
      </xdr:txBody>
    </xdr:sp>
    <xdr:clientData/>
  </xdr:twoCellAnchor>
  <xdr:twoCellAnchor>
    <xdr:from>
      <xdr:col>2</xdr:col>
      <xdr:colOff>181097</xdr:colOff>
      <xdr:row>3</xdr:row>
      <xdr:rowOff>160506</xdr:rowOff>
    </xdr:from>
    <xdr:to>
      <xdr:col>3</xdr:col>
      <xdr:colOff>523997</xdr:colOff>
      <xdr:row>6</xdr:row>
      <xdr:rowOff>107166</xdr:rowOff>
    </xdr:to>
    <xdr:sp macro="" textlink="'Company Analysis'!I8">
      <xdr:nvSpPr>
        <xdr:cNvPr id="3" name="TextBox 2">
          <a:extLst>
            <a:ext uri="{FF2B5EF4-FFF2-40B4-BE49-F238E27FC236}">
              <a16:creationId xmlns:a16="http://schemas.microsoft.com/office/drawing/2014/main" id="{3BF069D2-CDD1-F076-5648-7B754C1671F1}"/>
            </a:ext>
          </a:extLst>
        </xdr:cNvPr>
        <xdr:cNvSpPr txBox="1"/>
      </xdr:nvSpPr>
      <xdr:spPr>
        <a:xfrm>
          <a:off x="1032267" y="1246761"/>
          <a:ext cx="950879" cy="506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8638B44-EBFB-4D21-809D-2BA03020C74F}" type="TxLink">
            <a:rPr lang="en-US" sz="3600" b="1" i="0" u="none" strike="noStrike">
              <a:solidFill>
                <a:schemeClr val="accent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100</a:t>
          </a:fld>
          <a:endParaRPr lang="en-US" sz="36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594360</xdr:colOff>
      <xdr:row>0</xdr:row>
      <xdr:rowOff>697149</xdr:rowOff>
    </xdr:from>
    <xdr:to>
      <xdr:col>7</xdr:col>
      <xdr:colOff>267510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A693E0-9D5E-4EDC-A8CA-97895FC9A0F6}"/>
            </a:ext>
          </a:extLst>
        </xdr:cNvPr>
        <xdr:cNvSpPr txBox="1"/>
      </xdr:nvSpPr>
      <xdr:spPr>
        <a:xfrm>
          <a:off x="2661488" y="697149"/>
          <a:ext cx="1497086" cy="113489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No.</a:t>
          </a:r>
          <a:r>
            <a:rPr lang="en-US" sz="1600" b="1" baseline="0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 of </a:t>
          </a:r>
          <a:r>
            <a:rPr lang="en-US" sz="1600" b="1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 Departments</a:t>
          </a:r>
        </a:p>
      </xdr:txBody>
    </xdr:sp>
    <xdr:clientData/>
  </xdr:twoCellAnchor>
  <xdr:twoCellAnchor>
    <xdr:from>
      <xdr:col>5</xdr:col>
      <xdr:colOff>479250</xdr:colOff>
      <xdr:row>3</xdr:row>
      <xdr:rowOff>117704</xdr:rowOff>
    </xdr:from>
    <xdr:to>
      <xdr:col>6</xdr:col>
      <xdr:colOff>319230</xdr:colOff>
      <xdr:row>6</xdr:row>
      <xdr:rowOff>37937</xdr:rowOff>
    </xdr:to>
    <xdr:sp macro="" textlink="'Company Analysis'!I9">
      <xdr:nvSpPr>
        <xdr:cNvPr id="5" name="TextBox 4">
          <a:extLst>
            <a:ext uri="{FF2B5EF4-FFF2-40B4-BE49-F238E27FC236}">
              <a16:creationId xmlns:a16="http://schemas.microsoft.com/office/drawing/2014/main" id="{FA29E637-B558-922F-7FF4-9E615B405FF0}"/>
            </a:ext>
          </a:extLst>
        </xdr:cNvPr>
        <xdr:cNvSpPr txBox="1"/>
      </xdr:nvSpPr>
      <xdr:spPr>
        <a:xfrm>
          <a:off x="3154356" y="1203959"/>
          <a:ext cx="447959" cy="47957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28ADA69-31DB-48FB-A342-1045A002DECB}" type="TxLink">
            <a:rPr lang="en-US" sz="3600" b="1" i="0" u="none" strike="noStrike">
              <a:solidFill>
                <a:schemeClr val="accent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5</a:t>
          </a:fld>
          <a:endParaRPr lang="en-US" sz="36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15240</xdr:colOff>
      <xdr:row>1</xdr:row>
      <xdr:rowOff>8106</xdr:rowOff>
    </xdr:from>
    <xdr:to>
      <xdr:col>12</xdr:col>
      <xdr:colOff>0</xdr:colOff>
      <xdr:row>7</xdr:row>
      <xdr:rowOff>15240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D0ACB0-BD12-49F1-ACBA-34A19F7C6120}"/>
            </a:ext>
          </a:extLst>
        </xdr:cNvPr>
        <xdr:cNvSpPr txBox="1"/>
      </xdr:nvSpPr>
      <xdr:spPr>
        <a:xfrm>
          <a:off x="4514283" y="721468"/>
          <a:ext cx="2416674" cy="112581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Average</a:t>
          </a:r>
          <a:r>
            <a:rPr lang="en-US" sz="1800" b="1" baseline="0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algn="ctr"/>
          <a:r>
            <a:rPr lang="en-US" sz="1800" b="1" baseline="0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Salary</a:t>
          </a:r>
          <a:endParaRPr lang="en-US" sz="1800" b="1">
            <a:solidFill>
              <a:schemeClr val="accent2">
                <a:lumMod val="75000"/>
              </a:schemeClr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12</xdr:col>
      <xdr:colOff>518160</xdr:colOff>
      <xdr:row>0</xdr:row>
      <xdr:rowOff>705255</xdr:rowOff>
    </xdr:from>
    <xdr:to>
      <xdr:col>15</xdr:col>
      <xdr:colOff>601980</xdr:colOff>
      <xdr:row>7</xdr:row>
      <xdr:rowOff>7620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B348244-42E4-41B6-A852-ADF9D53E0C8D}"/>
            </a:ext>
          </a:extLst>
        </xdr:cNvPr>
        <xdr:cNvSpPr txBox="1"/>
      </xdr:nvSpPr>
      <xdr:spPr>
        <a:xfrm>
          <a:off x="7449117" y="705255"/>
          <a:ext cx="1907757" cy="113440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Average </a:t>
          </a:r>
        </a:p>
        <a:p>
          <a:pPr algn="ctr"/>
          <a:r>
            <a:rPr lang="en-US" sz="1600" b="1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Employee Age</a:t>
          </a:r>
        </a:p>
      </xdr:txBody>
    </xdr:sp>
    <xdr:clientData/>
  </xdr:twoCellAnchor>
  <xdr:twoCellAnchor>
    <xdr:from>
      <xdr:col>8</xdr:col>
      <xdr:colOff>321986</xdr:colOff>
      <xdr:row>4</xdr:row>
      <xdr:rowOff>24319</xdr:rowOff>
    </xdr:from>
    <xdr:to>
      <xdr:col>11</xdr:col>
      <xdr:colOff>275617</xdr:colOff>
      <xdr:row>7</xdr:row>
      <xdr:rowOff>16211</xdr:rowOff>
    </xdr:to>
    <xdr:sp macro="" textlink="'Company Analysis'!O7">
      <xdr:nvSpPr>
        <xdr:cNvPr id="9" name="TextBox 8">
          <a:extLst>
            <a:ext uri="{FF2B5EF4-FFF2-40B4-BE49-F238E27FC236}">
              <a16:creationId xmlns:a16="http://schemas.microsoft.com/office/drawing/2014/main" id="{2220251A-8AD8-2A69-C341-D4313CD3CBA1}"/>
            </a:ext>
          </a:extLst>
        </xdr:cNvPr>
        <xdr:cNvSpPr txBox="1"/>
      </xdr:nvSpPr>
      <xdr:spPr>
        <a:xfrm>
          <a:off x="4821029" y="1297021"/>
          <a:ext cx="1777567" cy="55123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CC6B5B9-80F7-44CE-9254-C1B7070CCDC3}" type="TxLink">
            <a:rPr lang="en-US" sz="3400" b="1" i="0" u="none" strike="noStrike">
              <a:solidFill>
                <a:schemeClr val="accent2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$77,472</a:t>
          </a:fld>
          <a:endParaRPr lang="en-US" sz="34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oneCellAnchor>
    <xdr:from>
      <xdr:col>13</xdr:col>
      <xdr:colOff>342900</xdr:colOff>
      <xdr:row>3</xdr:row>
      <xdr:rowOff>106680</xdr:rowOff>
    </xdr:from>
    <xdr:ext cx="967740" cy="594360"/>
    <xdr:sp macro="" textlink="'Company Analysis'!I7">
      <xdr:nvSpPr>
        <xdr:cNvPr id="10" name="TextBox 9">
          <a:extLst>
            <a:ext uri="{FF2B5EF4-FFF2-40B4-BE49-F238E27FC236}">
              <a16:creationId xmlns:a16="http://schemas.microsoft.com/office/drawing/2014/main" id="{924C10AC-9BC7-A544-29F6-AF452EB1B0B8}"/>
            </a:ext>
          </a:extLst>
        </xdr:cNvPr>
        <xdr:cNvSpPr txBox="1"/>
      </xdr:nvSpPr>
      <xdr:spPr>
        <a:xfrm>
          <a:off x="8321040" y="1036320"/>
          <a:ext cx="967740" cy="594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A2D8E0E1-9254-4B26-B9D0-B499E9C11828}" type="TxLink">
            <a:rPr lang="en-US" sz="4400" b="1" i="0" u="none" strike="noStrike">
              <a:solidFill>
                <a:schemeClr val="accent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30</a:t>
          </a:fld>
          <a:endParaRPr lang="en-US" sz="44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oneCellAnchor>
  <xdr:twoCellAnchor>
    <xdr:from>
      <xdr:col>0</xdr:col>
      <xdr:colOff>238126</xdr:colOff>
      <xdr:row>7</xdr:row>
      <xdr:rowOff>129702</xdr:rowOff>
    </xdr:from>
    <xdr:to>
      <xdr:col>8</xdr:col>
      <xdr:colOff>486383</xdr:colOff>
      <xdr:row>18</xdr:row>
      <xdr:rowOff>175259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635400-77F6-4626-9068-1B02E2768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32426</xdr:colOff>
      <xdr:row>7</xdr:row>
      <xdr:rowOff>145913</xdr:rowOff>
    </xdr:from>
    <xdr:to>
      <xdr:col>17</xdr:col>
      <xdr:colOff>81064</xdr:colOff>
      <xdr:row>19</xdr:row>
      <xdr:rowOff>7619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7089EA-ACFF-44F0-A21C-4451403E3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19</xdr:row>
      <xdr:rowOff>105383</xdr:rowOff>
    </xdr:from>
    <xdr:to>
      <xdr:col>8</xdr:col>
      <xdr:colOff>486383</xdr:colOff>
      <xdr:row>32</xdr:row>
      <xdr:rowOff>8106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4052BD-C583-4BA5-9916-9AD934E7C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24319</xdr:colOff>
      <xdr:row>19</xdr:row>
      <xdr:rowOff>113490</xdr:rowOff>
    </xdr:from>
    <xdr:to>
      <xdr:col>17</xdr:col>
      <xdr:colOff>89171</xdr:colOff>
      <xdr:row>32</xdr:row>
      <xdr:rowOff>8106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E90644-3577-4A0B-9A65-05852A019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2</xdr:row>
      <xdr:rowOff>68580</xdr:rowOff>
    </xdr:from>
    <xdr:to>
      <xdr:col>3</xdr:col>
      <xdr:colOff>571500</xdr:colOff>
      <xdr:row>7</xdr:row>
      <xdr:rowOff>137160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487A542-1958-7431-A505-C0C6AF6526A5}"/>
            </a:ext>
          </a:extLst>
        </xdr:cNvPr>
        <xdr:cNvSpPr txBox="1"/>
      </xdr:nvSpPr>
      <xdr:spPr>
        <a:xfrm>
          <a:off x="579120" y="883920"/>
          <a:ext cx="1821180" cy="10972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0"/>
            <a:t>Total</a:t>
          </a:r>
          <a:r>
            <a:rPr lang="en-US" sz="2000" b="0" baseline="0"/>
            <a:t> Employees</a:t>
          </a:r>
        </a:p>
      </xdr:txBody>
    </xdr:sp>
    <xdr:clientData/>
  </xdr:twoCellAnchor>
  <xdr:twoCellAnchor>
    <xdr:from>
      <xdr:col>5</xdr:col>
      <xdr:colOff>175260</xdr:colOff>
      <xdr:row>5</xdr:row>
      <xdr:rowOff>22860</xdr:rowOff>
    </xdr:from>
    <xdr:to>
      <xdr:col>8</xdr:col>
      <xdr:colOff>396240</xdr:colOff>
      <xdr:row>9</xdr:row>
      <xdr:rowOff>91440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3A66ED-C2F0-4FD1-8997-2A565A41BBD7}"/>
            </a:ext>
          </a:extLst>
        </xdr:cNvPr>
        <xdr:cNvSpPr txBox="1"/>
      </xdr:nvSpPr>
      <xdr:spPr>
        <a:xfrm>
          <a:off x="3223260" y="1470660"/>
          <a:ext cx="420624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0"/>
            <a:t>Average</a:t>
          </a:r>
          <a:r>
            <a:rPr lang="en-US" sz="2000" b="0" baseline="0"/>
            <a:t> Salary</a:t>
          </a:r>
        </a:p>
      </xdr:txBody>
    </xdr:sp>
    <xdr:clientData/>
  </xdr:twoCellAnchor>
  <xdr:twoCellAnchor>
    <xdr:from>
      <xdr:col>9</xdr:col>
      <xdr:colOff>532699</xdr:colOff>
      <xdr:row>2</xdr:row>
      <xdr:rowOff>66653</xdr:rowOff>
    </xdr:from>
    <xdr:to>
      <xdr:col>12</xdr:col>
      <xdr:colOff>105979</xdr:colOff>
      <xdr:row>7</xdr:row>
      <xdr:rowOff>142854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8C0AFDE-50F0-4C1D-84E0-7DF0E68E381E}"/>
            </a:ext>
          </a:extLst>
        </xdr:cNvPr>
        <xdr:cNvSpPr txBox="1"/>
      </xdr:nvSpPr>
      <xdr:spPr>
        <a:xfrm>
          <a:off x="7592147" y="881205"/>
          <a:ext cx="1727901" cy="10746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0"/>
            <a:t>Average</a:t>
          </a:r>
          <a:r>
            <a:rPr lang="en-US" sz="2000" b="0" baseline="0"/>
            <a:t> Age</a:t>
          </a:r>
        </a:p>
      </xdr:txBody>
    </xdr:sp>
    <xdr:clientData/>
  </xdr:twoCellAnchor>
  <xdr:twoCellAnchor>
    <xdr:from>
      <xdr:col>1</xdr:col>
      <xdr:colOff>480060</xdr:colOff>
      <xdr:row>5</xdr:row>
      <xdr:rowOff>113862</xdr:rowOff>
    </xdr:from>
    <xdr:to>
      <xdr:col>2</xdr:col>
      <xdr:colOff>518160</xdr:colOff>
      <xdr:row>7</xdr:row>
      <xdr:rowOff>99060</xdr:rowOff>
    </xdr:to>
    <xdr:sp macro="" textlink="tot_emp">
      <xdr:nvSpPr>
        <xdr:cNvPr id="14" name="TextBox 13">
          <a:extLst>
            <a:ext uri="{FF2B5EF4-FFF2-40B4-BE49-F238E27FC236}">
              <a16:creationId xmlns:a16="http://schemas.microsoft.com/office/drawing/2014/main" id="{6FDFBCAA-16B2-B126-7533-F711325B7613}"/>
            </a:ext>
          </a:extLst>
        </xdr:cNvPr>
        <xdr:cNvSpPr txBox="1"/>
      </xdr:nvSpPr>
      <xdr:spPr>
        <a:xfrm>
          <a:off x="1093163" y="1559034"/>
          <a:ext cx="651204" cy="353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DE081E5-3F7A-488C-913E-30D3FC64546B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17</a:t>
          </a:fld>
          <a:endParaRPr lang="en-US" sz="2400" b="1"/>
        </a:p>
      </xdr:txBody>
    </xdr:sp>
    <xdr:clientData/>
  </xdr:twoCellAnchor>
  <xdr:twoCellAnchor>
    <xdr:from>
      <xdr:col>5</xdr:col>
      <xdr:colOff>434340</xdr:colOff>
      <xdr:row>7</xdr:row>
      <xdr:rowOff>15240</xdr:rowOff>
    </xdr:from>
    <xdr:to>
      <xdr:col>7</xdr:col>
      <xdr:colOff>533400</xdr:colOff>
      <xdr:row>9</xdr:row>
      <xdr:rowOff>45720</xdr:rowOff>
    </xdr:to>
    <xdr:sp macro="" textlink="avg_sal">
      <xdr:nvSpPr>
        <xdr:cNvPr id="16" name="TextBox 15">
          <a:extLst>
            <a:ext uri="{FF2B5EF4-FFF2-40B4-BE49-F238E27FC236}">
              <a16:creationId xmlns:a16="http://schemas.microsoft.com/office/drawing/2014/main" id="{FC731F0D-DA90-7930-DF5E-53CB247FEECA}"/>
            </a:ext>
          </a:extLst>
        </xdr:cNvPr>
        <xdr:cNvSpPr txBox="1"/>
      </xdr:nvSpPr>
      <xdr:spPr>
        <a:xfrm>
          <a:off x="3482340" y="1828800"/>
          <a:ext cx="2865120" cy="396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831400-30C1-46CA-AD87-1C960262A322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$68,805.29</a:t>
          </a:fld>
          <a:endParaRPr lang="en-US" sz="1800" b="1"/>
        </a:p>
      </xdr:txBody>
    </xdr:sp>
    <xdr:clientData/>
  </xdr:twoCellAnchor>
  <xdr:twoCellAnchor>
    <xdr:from>
      <xdr:col>10</xdr:col>
      <xdr:colOff>115876</xdr:colOff>
      <xdr:row>5</xdr:row>
      <xdr:rowOff>61311</xdr:rowOff>
    </xdr:from>
    <xdr:to>
      <xdr:col>11</xdr:col>
      <xdr:colOff>175171</xdr:colOff>
      <xdr:row>7</xdr:row>
      <xdr:rowOff>82331</xdr:rowOff>
    </xdr:to>
    <xdr:sp macro="" textlink="avg_age">
      <xdr:nvSpPr>
        <xdr:cNvPr id="15" name="TextBox 14">
          <a:extLst>
            <a:ext uri="{FF2B5EF4-FFF2-40B4-BE49-F238E27FC236}">
              <a16:creationId xmlns:a16="http://schemas.microsoft.com/office/drawing/2014/main" id="{83E5E38A-F34F-F110-9ED2-9A125A10FEFA}"/>
            </a:ext>
          </a:extLst>
        </xdr:cNvPr>
        <xdr:cNvSpPr txBox="1"/>
      </xdr:nvSpPr>
      <xdr:spPr>
        <a:xfrm>
          <a:off x="8103738" y="1506483"/>
          <a:ext cx="672399" cy="388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697C6D2-2638-4680-8441-1BB9B088308E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</a:t>
          </a:fld>
          <a:endParaRPr lang="en-US" sz="2000" b="1"/>
        </a:p>
      </xdr:txBody>
    </xdr:sp>
    <xdr:clientData/>
  </xdr:twoCellAnchor>
  <xdr:twoCellAnchor>
    <xdr:from>
      <xdr:col>5</xdr:col>
      <xdr:colOff>106911</xdr:colOff>
      <xdr:row>1</xdr:row>
      <xdr:rowOff>53340</xdr:rowOff>
    </xdr:from>
    <xdr:to>
      <xdr:col>9</xdr:col>
      <xdr:colOff>15471</xdr:colOff>
      <xdr:row>3</xdr:row>
      <xdr:rowOff>60960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28D0CAB-A367-A8A7-BF13-D366922CB545}"/>
            </a:ext>
          </a:extLst>
        </xdr:cNvPr>
        <xdr:cNvSpPr txBox="1"/>
      </xdr:nvSpPr>
      <xdr:spPr>
        <a:xfrm>
          <a:off x="3166456" y="688340"/>
          <a:ext cx="3903288" cy="377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Select Department</a:t>
          </a:r>
        </a:p>
      </xdr:txBody>
    </xdr:sp>
    <xdr:clientData/>
  </xdr:twoCellAnchor>
  <xdr:twoCellAnchor>
    <xdr:from>
      <xdr:col>0</xdr:col>
      <xdr:colOff>91440</xdr:colOff>
      <xdr:row>9</xdr:row>
      <xdr:rowOff>175260</xdr:rowOff>
    </xdr:from>
    <xdr:to>
      <xdr:col>6</xdr:col>
      <xdr:colOff>281940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A9BE8-4762-4690-98D6-FB90A9F4E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280276</xdr:colOff>
      <xdr:row>10</xdr:row>
      <xdr:rowOff>0</xdr:rowOff>
    </xdr:from>
    <xdr:to>
      <xdr:col>12</xdr:col>
      <xdr:colOff>464820</xdr:colOff>
      <xdr:row>23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1989D-E8D2-464F-850E-464653689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83820</xdr:colOff>
      <xdr:row>23</xdr:row>
      <xdr:rowOff>22860</xdr:rowOff>
    </xdr:from>
    <xdr:to>
      <xdr:col>6</xdr:col>
      <xdr:colOff>281940</xdr:colOff>
      <xdr:row>37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4DB48F-3EA4-430F-A014-DFC15AAE1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271518</xdr:colOff>
      <xdr:row>23</xdr:row>
      <xdr:rowOff>61311</xdr:rowOff>
    </xdr:from>
    <xdr:to>
      <xdr:col>12</xdr:col>
      <xdr:colOff>472965</xdr:colOff>
      <xdr:row>37</xdr:row>
      <xdr:rowOff>70068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71C47B-CBE1-43DB-A993-A520EF35B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12</xdr:row>
      <xdr:rowOff>167640</xdr:rowOff>
    </xdr:from>
    <xdr:to>
      <xdr:col>5</xdr:col>
      <xdr:colOff>373380</xdr:colOff>
      <xdr:row>26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9CE19-3D61-4BF1-BF48-E9FDF6370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27</xdr:row>
      <xdr:rowOff>133350</xdr:rowOff>
    </xdr:from>
    <xdr:to>
      <xdr:col>5</xdr:col>
      <xdr:colOff>350520</xdr:colOff>
      <xdr:row>40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9E0A08-111E-46CE-CA37-E164A698D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148590</xdr:rowOff>
    </xdr:from>
    <xdr:to>
      <xdr:col>5</xdr:col>
      <xdr:colOff>15240</xdr:colOff>
      <xdr:row>52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FD2A79-E462-766A-FB9C-64C407138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41910</xdr:rowOff>
    </xdr:from>
    <xdr:to>
      <xdr:col>5</xdr:col>
      <xdr:colOff>769620</xdr:colOff>
      <xdr:row>69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AA0350-D62B-E6BE-DE65-1B28B2D8A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sley Omoke" refreshedDate="45838.708889236113" createdVersion="8" refreshedVersion="8" minRefreshableVersion="3" recordCount="100" xr:uid="{929C0AF4-0AAC-42AC-8B0F-D43308C0A7BF}">
  <cacheSource type="worksheet">
    <worksheetSource name="Table2"/>
  </cacheSource>
  <cacheFields count="8">
    <cacheField name="Name" numFmtId="0">
      <sharedItems/>
    </cacheField>
    <cacheField name="Gender" numFmtId="0">
      <sharedItems/>
    </cacheField>
    <cacheField name="Department" numFmtId="0">
      <sharedItems/>
    </cacheField>
    <cacheField name="Age" numFmtId="1">
      <sharedItems containsSemiMixedTypes="0" containsString="0" containsNumber="1" containsInteger="1" minValue="19" maxValue="46"/>
    </cacheField>
    <cacheField name="Date Joined" numFmtId="14">
      <sharedItems containsSemiMixedTypes="0" containsNonDate="0" containsDate="1" containsString="0" minDate="2020-07-07T00:00:00" maxDate="2023-04-30T00:00:00"/>
    </cacheField>
    <cacheField name="Salary" numFmtId="165">
      <sharedItems containsSemiMixedTypes="0" containsString="0" containsNumber="1" containsInteger="1" minValue="33920" maxValue="119110"/>
    </cacheField>
    <cacheField name="Rating" numFmtId="0">
      <sharedItems count="5">
        <s v="Above average"/>
        <s v="Average"/>
        <s v="Poor"/>
        <s v="Exceptional"/>
        <s v="Very poor"/>
      </sharedItems>
    </cacheField>
    <cacheField name="Peri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Lindy Guillet"/>
    <s v="Male"/>
    <s v="Sales"/>
    <n v="22"/>
    <d v="2021-09-07T00:00:00"/>
    <n v="112780"/>
    <x v="0"/>
    <s v="Sep 2021"/>
  </r>
  <r>
    <s v="Ambros Murthwaite"/>
    <s v="Male"/>
    <s v="Procurement"/>
    <n v="46"/>
    <d v="2022-07-16T00:00:00"/>
    <n v="70610"/>
    <x v="1"/>
    <s v="Jul 2022"/>
  </r>
  <r>
    <s v="Tatum Hush"/>
    <s v="Female"/>
    <s v="Sales"/>
    <n v="28"/>
    <d v="2021-06-10T00:00:00"/>
    <n v="53240"/>
    <x v="1"/>
    <s v="Jun 2021"/>
  </r>
  <r>
    <s v="Benny Karolovsky"/>
    <s v="Other"/>
    <s v="Finance"/>
    <n v="37"/>
    <d v="2020-11-11T00:00:00"/>
    <n v="115440"/>
    <x v="2"/>
    <s v="Nov 2020"/>
  </r>
  <r>
    <s v="Hoyt D'Alesco"/>
    <s v="Male"/>
    <s v="Sales"/>
    <n v="32"/>
    <d v="2021-09-26T00:00:00"/>
    <n v="53540"/>
    <x v="1"/>
    <s v="Sep 2021"/>
  </r>
  <r>
    <s v="Halimeda Kuscha"/>
    <s v="Female"/>
    <s v="Procurement"/>
    <n v="30"/>
    <d v="2022-10-27T00:00:00"/>
    <n v="112570"/>
    <x v="1"/>
    <s v="Oct 2022"/>
  </r>
  <r>
    <s v="Erin Androsik"/>
    <s v="Male"/>
    <s v="Procurement"/>
    <n v="33"/>
    <d v="2022-05-20T00:00:00"/>
    <n v="48530"/>
    <x v="0"/>
    <s v="May 2022"/>
  </r>
  <r>
    <s v="Vic Radolf"/>
    <s v="Female"/>
    <s v="Website"/>
    <n v="24"/>
    <d v="2020-11-13T00:00:00"/>
    <n v="62780"/>
    <x v="1"/>
    <s v="Nov 2020"/>
  </r>
  <r>
    <s v="William Reeveley"/>
    <s v="Male"/>
    <s v="Website"/>
    <n v="33"/>
    <d v="2021-11-09T00:00:00"/>
    <n v="53870"/>
    <x v="1"/>
    <s v="Nov 2021"/>
  </r>
  <r>
    <s v="Ewart Laphorn"/>
    <s v="Female"/>
    <s v="HR"/>
    <n v="27"/>
    <d v="2020-10-18T00:00:00"/>
    <n v="119110"/>
    <x v="1"/>
    <s v="Oct 2020"/>
  </r>
  <r>
    <s v="Bev Lashley"/>
    <s v="Male"/>
    <s v="Website"/>
    <n v="29"/>
    <d v="2020-12-15T00:00:00"/>
    <n v="112110"/>
    <x v="2"/>
    <s v="Dec 2020"/>
  </r>
  <r>
    <s v="Kath Bletsoe"/>
    <s v="Male"/>
    <s v="Sales"/>
    <n v="25"/>
    <d v="2021-07-06T00:00:00"/>
    <n v="65700"/>
    <x v="1"/>
    <s v="Jul 2021"/>
  </r>
  <r>
    <s v="Murry Dryburgh"/>
    <s v="Male"/>
    <s v="Website"/>
    <n v="37"/>
    <d v="2022-05-20T00:00:00"/>
    <n v="69070"/>
    <x v="1"/>
    <s v="May 2022"/>
  </r>
  <r>
    <s v="Kaine Padly"/>
    <s v="Male"/>
    <s v="Website"/>
    <n v="20"/>
    <d v="2021-09-20T00:00:00"/>
    <n v="107700"/>
    <x v="1"/>
    <s v="Sep 2021"/>
  </r>
  <r>
    <s v="Kassi Jonson"/>
    <s v="Female"/>
    <s v="Website"/>
    <n v="32"/>
    <d v="2021-06-07T00:00:00"/>
    <n v="43840"/>
    <x v="0"/>
    <s v="Jun 2021"/>
  </r>
  <r>
    <s v="Simon Kembery"/>
    <s v="Male"/>
    <s v="Procurement"/>
    <n v="40"/>
    <d v="2021-03-08T00:00:00"/>
    <n v="99750"/>
    <x v="1"/>
    <s v="Mar 2021"/>
  </r>
  <r>
    <s v="Orton Livick"/>
    <s v="Male"/>
    <s v="Procurement"/>
    <n v="21"/>
    <d v="2020-09-30T00:00:00"/>
    <n v="37920"/>
    <x v="1"/>
    <s v="Sep 2020"/>
  </r>
  <r>
    <s v="Kelci Walkden"/>
    <s v="Male"/>
    <s v="Procurement"/>
    <n v="21"/>
    <d v="2022-07-20T00:00:00"/>
    <n v="57090"/>
    <x v="1"/>
    <s v="Jul 2022"/>
  </r>
  <r>
    <s v="Dotty Strutley"/>
    <s v="Female"/>
    <s v="Website"/>
    <n v="31"/>
    <d v="2020-11-10T00:00:00"/>
    <n v="41980"/>
    <x v="1"/>
    <s v="Nov 2020"/>
  </r>
  <r>
    <s v="Shari McNee"/>
    <s v="Male"/>
    <s v="HR"/>
    <n v="21"/>
    <d v="2021-02-15T00:00:00"/>
    <n v="75880"/>
    <x v="1"/>
    <s v="Feb 2021"/>
  </r>
  <r>
    <s v="Oby Sorrel"/>
    <s v="Female"/>
    <s v="Finance"/>
    <n v="34"/>
    <d v="2022-04-02T00:00:00"/>
    <n v="58940"/>
    <x v="1"/>
    <s v="Apr 2022"/>
  </r>
  <r>
    <s v="Husein Augar"/>
    <s v="Female"/>
    <s v="Finance"/>
    <n v="30"/>
    <d v="2021-07-12T00:00:00"/>
    <n v="67910"/>
    <x v="2"/>
    <s v="Jul 2021"/>
  </r>
  <r>
    <s v="Brien Boise"/>
    <s v="Female"/>
    <s v="Website"/>
    <n v="31"/>
    <d v="2022-04-12T00:00:00"/>
    <n v="58100"/>
    <x v="1"/>
    <s v="Apr 2022"/>
  </r>
  <r>
    <s v="Esmaria Denecamp"/>
    <s v="Male"/>
    <s v="Finance"/>
    <n v="27"/>
    <d v="2022-01-06T00:00:00"/>
    <n v="48980"/>
    <x v="1"/>
    <s v="Jan 2022"/>
  </r>
  <r>
    <s v="Curtice Advani"/>
    <s v="Other"/>
    <s v="Finance"/>
    <n v="30"/>
    <d v="2022-02-05T00:00:00"/>
    <n v="64000"/>
    <x v="1"/>
    <s v="Feb 2022"/>
  </r>
  <r>
    <s v="Barr Faughny"/>
    <s v="Female"/>
    <s v="Procurement"/>
    <n v="42"/>
    <d v="2022-08-06T00:00:00"/>
    <n v="75000"/>
    <x v="3"/>
    <s v="Aug 2022"/>
  </r>
  <r>
    <s v="Merrilee Plenty"/>
    <s v="Female"/>
    <s v="Website"/>
    <n v="40"/>
    <d v="2021-05-21T00:00:00"/>
    <n v="87620"/>
    <x v="1"/>
    <s v="May 2021"/>
  </r>
  <r>
    <s v="Niall Selesnick"/>
    <s v="Female"/>
    <s v="Website"/>
    <n v="29"/>
    <d v="2020-07-11T00:00:00"/>
    <n v="34980"/>
    <x v="1"/>
    <s v="Jul 2020"/>
  </r>
  <r>
    <s v="Beverie Moffet"/>
    <s v="Female"/>
    <s v="Finance"/>
    <n v="28"/>
    <d v="2020-12-20T00:00:00"/>
    <n v="75970"/>
    <x v="1"/>
    <s v="Dec 2020"/>
  </r>
  <r>
    <s v="Jehu Rudeforth"/>
    <s v="Female"/>
    <s v="Finance"/>
    <n v="34"/>
    <d v="2022-02-20T00:00:00"/>
    <n v="60130"/>
    <x v="1"/>
    <s v="Feb 2022"/>
  </r>
  <r>
    <s v="Camilla Castle"/>
    <s v="Female"/>
    <s v="Website"/>
    <n v="33"/>
    <d v="2021-06-27T00:00:00"/>
    <n v="75480"/>
    <x v="4"/>
    <s v="Jun 2021"/>
  </r>
  <r>
    <s v="Roddy Speechley"/>
    <s v="Male"/>
    <s v="Procurement"/>
    <n v="33"/>
    <d v="2020-11-29T00:00:00"/>
    <n v="115920"/>
    <x v="1"/>
    <s v="Nov 2020"/>
  </r>
  <r>
    <s v="Gray Seamon"/>
    <s v="Female"/>
    <s v="Sales"/>
    <n v="36"/>
    <d v="2021-10-25T00:00:00"/>
    <n v="78540"/>
    <x v="1"/>
    <s v="Oct 2021"/>
  </r>
  <r>
    <s v="Madelene Upcott"/>
    <s v="Male"/>
    <s v="Procurement"/>
    <n v="25"/>
    <d v="2022-06-14T00:00:00"/>
    <n v="109190"/>
    <x v="0"/>
    <s v="Jun 2022"/>
  </r>
  <r>
    <s v="Violante Courtonne"/>
    <s v="Female"/>
    <s v="Sales"/>
    <n v="34"/>
    <d v="2022-06-09T00:00:00"/>
    <n v="49630"/>
    <x v="2"/>
    <s v="Jun 2022"/>
  </r>
  <r>
    <s v="Bernie Gorges"/>
    <s v="Female"/>
    <s v="Procurement"/>
    <n v="28"/>
    <d v="2022-03-10T00:00:00"/>
    <n v="99970"/>
    <x v="1"/>
    <s v="Mar 2022"/>
  </r>
  <r>
    <s v="Torrance Collier"/>
    <s v="Female"/>
    <s v="Website"/>
    <n v="33"/>
    <d v="2020-12-25T00:00:00"/>
    <n v="96140"/>
    <x v="1"/>
    <s v="Dec 2020"/>
  </r>
  <r>
    <s v="Dyna Doucette"/>
    <s v="Male"/>
    <s v="Procurement"/>
    <n v="31"/>
    <d v="2022-06-12T00:00:00"/>
    <n v="103550"/>
    <x v="1"/>
    <s v="Jun 2022"/>
  </r>
  <r>
    <s v="Gunar Cockshoot"/>
    <s v="Male"/>
    <s v="Website"/>
    <n v="31"/>
    <d v="2021-11-11T00:00:00"/>
    <n v="48950"/>
    <x v="1"/>
    <s v="Nov 2021"/>
  </r>
  <r>
    <s v="Kaye Crocroft"/>
    <s v="Male"/>
    <s v="Finance"/>
    <n v="24"/>
    <d v="2021-08-28T00:00:00"/>
    <n v="52610"/>
    <x v="2"/>
    <s v="Aug 2021"/>
  </r>
  <r>
    <s v="Allene Gobbet"/>
    <s v="Female"/>
    <s v="Procurement"/>
    <n v="36"/>
    <d v="2021-11-29T00:00:00"/>
    <n v="78390"/>
    <x v="1"/>
    <s v="Nov 2021"/>
  </r>
  <r>
    <s v="Sibyl Dunkirk"/>
    <s v="Female"/>
    <s v="Finance"/>
    <n v="33"/>
    <d v="2022-09-05T00:00:00"/>
    <n v="86570"/>
    <x v="1"/>
    <s v="Sep 2022"/>
  </r>
  <r>
    <s v="Agnes Collicott"/>
    <s v="Female"/>
    <s v="Website"/>
    <n v="27"/>
    <d v="2022-05-05T00:00:00"/>
    <n v="83750"/>
    <x v="1"/>
    <s v="May 2022"/>
  </r>
  <r>
    <s v="Leilah Yesinin"/>
    <s v="Female"/>
    <s v="Finance"/>
    <n v="34"/>
    <d v="2021-09-06T00:00:00"/>
    <n v="92450"/>
    <x v="1"/>
    <s v="Sep 2021"/>
  </r>
  <r>
    <s v="Mollie Hanway"/>
    <s v="Male"/>
    <s v="Website"/>
    <n v="20"/>
    <d v="2020-12-18T00:00:00"/>
    <n v="112650"/>
    <x v="1"/>
    <s v="Dec 2020"/>
  </r>
  <r>
    <s v="Kellsie Waby"/>
    <s v="Male"/>
    <s v="Procurement"/>
    <n v="20"/>
    <d v="2022-07-02T00:00:00"/>
    <n v="79570"/>
    <x v="1"/>
    <s v="Jul 2022"/>
  </r>
  <r>
    <s v="Hyacinthie Braybrooke"/>
    <s v="Female"/>
    <s v="Sales"/>
    <n v="20"/>
    <d v="2021-12-07T00:00:00"/>
    <n v="68900"/>
    <x v="2"/>
    <s v="Dec 2021"/>
  </r>
  <r>
    <s v="Van Tuxwell"/>
    <s v="Female"/>
    <s v="Website"/>
    <n v="25"/>
    <d v="2022-05-13T00:00:00"/>
    <n v="80700"/>
    <x v="0"/>
    <s v="May 2022"/>
  </r>
  <r>
    <s v="Lilyan Klimpt"/>
    <s v="Male"/>
    <s v="Procurement"/>
    <n v="19"/>
    <d v="2021-03-22T00:00:00"/>
    <n v="58960"/>
    <x v="1"/>
    <s v="Mar 2021"/>
  </r>
  <r>
    <s v="Tawnya Tickel"/>
    <s v="Male"/>
    <s v="Website"/>
    <n v="36"/>
    <d v="2020-07-07T00:00:00"/>
    <n v="118840"/>
    <x v="1"/>
    <s v="Jul 2020"/>
  </r>
  <r>
    <s v="Jan Morforth"/>
    <s v="Male"/>
    <s v="Finance"/>
    <n v="28"/>
    <d v="2020-07-29T00:00:00"/>
    <n v="48170"/>
    <x v="0"/>
    <s v="Jul 2020"/>
  </r>
  <r>
    <s v="Florinda Crace"/>
    <s v="Female"/>
    <s v="HR"/>
    <n v="32"/>
    <d v="2021-07-23T00:00:00"/>
    <n v="45510"/>
    <x v="1"/>
    <s v="Jul 2021"/>
  </r>
  <r>
    <s v="Mollie Hanway"/>
    <s v="Male"/>
    <s v="Procurement"/>
    <n v="34"/>
    <d v="2022-05-22T00:00:00"/>
    <n v="112650"/>
    <x v="1"/>
    <s v="May 2022"/>
  </r>
  <r>
    <s v="Tracy Renad"/>
    <s v="Female"/>
    <s v="Procurement"/>
    <n v="36"/>
    <d v="2020-09-11T00:00:00"/>
    <n v="114890"/>
    <x v="1"/>
    <s v="Sep 2020"/>
  </r>
  <r>
    <s v="Myer McCory"/>
    <s v="Male"/>
    <s v="Website"/>
    <n v="30"/>
    <d v="2022-10-16T00:00:00"/>
    <n v="69710"/>
    <x v="1"/>
    <s v="Oct 2022"/>
  </r>
  <r>
    <s v="Bennie Pepis"/>
    <s v="Male"/>
    <s v="Finance"/>
    <n v="36"/>
    <d v="2021-05-17T00:00:00"/>
    <n v="71380"/>
    <x v="1"/>
    <s v="May 2021"/>
  </r>
  <r>
    <s v="Rafaelita Blaksland"/>
    <s v="Female"/>
    <s v="Sales"/>
    <n v="38"/>
    <d v="2021-06-30T00:00:00"/>
    <n v="109160"/>
    <x v="3"/>
    <s v="Jun 2021"/>
  </r>
  <r>
    <s v="Mahalia Larcher"/>
    <s v="Male"/>
    <s v="Procurement"/>
    <n v="27"/>
    <d v="2022-02-17T00:00:00"/>
    <n v="113280"/>
    <x v="4"/>
    <s v="Feb 2022"/>
  </r>
  <r>
    <s v="Andria Kimpton"/>
    <s v="Male"/>
    <s v="Website"/>
    <n v="30"/>
    <d v="2021-03-18T00:00:00"/>
    <n v="69120"/>
    <x v="1"/>
    <s v="Mar 2021"/>
  </r>
  <r>
    <s v="Valentia Etteridge"/>
    <s v="Female"/>
    <s v="HR"/>
    <n v="37"/>
    <d v="2021-09-12T00:00:00"/>
    <n v="118100"/>
    <x v="1"/>
    <s v="Sep 2021"/>
  </r>
  <r>
    <s v="Virginia McConville"/>
    <s v="Female"/>
    <s v="Procurement"/>
    <n v="22"/>
    <d v="2021-09-11T00:00:00"/>
    <n v="76900"/>
    <x v="0"/>
    <s v="Sep 2021"/>
  </r>
  <r>
    <s v="Wilone O'Kielt"/>
    <s v="Female"/>
    <s v="Website"/>
    <n v="43"/>
    <d v="2023-04-29T00:00:00"/>
    <n v="114870"/>
    <x v="1"/>
    <s v="Apr 2023"/>
  </r>
  <r>
    <s v="Madge McCloughen"/>
    <s v="Other"/>
    <s v="Website"/>
    <n v="32"/>
    <d v="2022-08-01T00:00:00"/>
    <n v="91310"/>
    <x v="1"/>
    <s v="Aug 2022"/>
  </r>
  <r>
    <s v="Janene Hairsine"/>
    <s v="Female"/>
    <s v="Procurement"/>
    <n v="28"/>
    <d v="2021-10-17T00:00:00"/>
    <n v="104770"/>
    <x v="1"/>
    <s v="Oct 2021"/>
  </r>
  <r>
    <s v="Alta Kaszper"/>
    <s v="Male"/>
    <s v="Sales"/>
    <n v="27"/>
    <d v="2020-10-30T00:00:00"/>
    <n v="54970"/>
    <x v="1"/>
    <s v="Oct 2020"/>
  </r>
  <r>
    <s v="Dennison Crosswaite"/>
    <s v="Other"/>
    <s v="Website"/>
    <n v="26"/>
    <d v="2021-03-16T00:00:00"/>
    <n v="90700"/>
    <x v="0"/>
    <s v="Mar 2021"/>
  </r>
  <r>
    <s v="Oran Buxcy"/>
    <s v="Female"/>
    <s v="Sales"/>
    <n v="38"/>
    <d v="2021-05-13T00:00:00"/>
    <n v="56870"/>
    <x v="0"/>
    <s v="May 2021"/>
  </r>
  <r>
    <s v="Hinda Label"/>
    <s v="Female"/>
    <s v="Sales"/>
    <n v="25"/>
    <d v="2021-01-09T00:00:00"/>
    <n v="92700"/>
    <x v="1"/>
    <s v="Jan 2021"/>
  </r>
  <r>
    <s v="Marney O'Breen"/>
    <s v="Female"/>
    <s v="Finance"/>
    <n v="21"/>
    <d v="2021-05-01T00:00:00"/>
    <n v="65920"/>
    <x v="1"/>
    <s v="May 2021"/>
  </r>
  <r>
    <s v="Dell Molloy"/>
    <s v="Male"/>
    <s v="Procurement"/>
    <n v="26"/>
    <d v="2021-01-29T00:00:00"/>
    <n v="47360"/>
    <x v="1"/>
    <s v="Jan 2021"/>
  </r>
  <r>
    <s v="Mallorie Waber"/>
    <s v="Male"/>
    <s v="Procurement"/>
    <n v="30"/>
    <d v="2022-04-15T00:00:00"/>
    <n v="60570"/>
    <x v="1"/>
    <s v="Apr 2022"/>
  </r>
  <r>
    <s v="Cherlyn Barter"/>
    <s v="Female"/>
    <s v="Procurement"/>
    <n v="28"/>
    <d v="2022-03-29T00:00:00"/>
    <n v="104120"/>
    <x v="1"/>
    <s v="Mar 2022"/>
  </r>
  <r>
    <s v="Ches Bonnell"/>
    <s v="Male"/>
    <s v="Website"/>
    <n v="37"/>
    <d v="2021-05-22T00:00:00"/>
    <n v="88050"/>
    <x v="2"/>
    <s v="May 2021"/>
  </r>
  <r>
    <s v="Collin Jagson"/>
    <s v="Male"/>
    <s v="Website"/>
    <n v="24"/>
    <d v="2022-05-05T00:00:00"/>
    <n v="100420"/>
    <x v="1"/>
    <s v="May 2022"/>
  </r>
  <r>
    <s v="Hogan Iles"/>
    <s v="Female"/>
    <s v="Procurement"/>
    <n v="30"/>
    <d v="2022-10-16T00:00:00"/>
    <n v="114180"/>
    <x v="1"/>
    <s v="Oct 2022"/>
  </r>
  <r>
    <s v="Gretchen Callow"/>
    <s v="Female"/>
    <s v="Website"/>
    <n v="21"/>
    <d v="2022-04-27T00:00:00"/>
    <n v="33920"/>
    <x v="1"/>
    <s v="Apr 2022"/>
  </r>
  <r>
    <s v="Kissiah Maydway"/>
    <s v="Male"/>
    <s v="Procurement"/>
    <n v="23"/>
    <d v="2021-09-01T00:00:00"/>
    <n v="106460"/>
    <x v="1"/>
    <s v="Sep 2021"/>
  </r>
  <r>
    <s v="Archibald Filliskirk"/>
    <s v="Male"/>
    <s v="Procurement"/>
    <n v="35"/>
    <d v="2022-06-15T00:00:00"/>
    <n v="40400"/>
    <x v="1"/>
    <s v="Jun 2022"/>
  </r>
  <r>
    <s v="Enoch Dowrey"/>
    <s v="Male"/>
    <s v="Finance"/>
    <n v="27"/>
    <d v="2021-02-09T00:00:00"/>
    <n v="91650"/>
    <x v="0"/>
    <s v="Feb 2021"/>
  </r>
  <r>
    <s v="Bili Sizey"/>
    <s v="Male"/>
    <s v="Sales"/>
    <n v="43"/>
    <d v="2022-02-28T00:00:00"/>
    <n v="36040"/>
    <x v="1"/>
    <s v="Feb 2022"/>
  </r>
  <r>
    <s v="Caro Chappel"/>
    <s v="Female"/>
    <s v="Website"/>
    <n v="40"/>
    <d v="2021-07-04T00:00:00"/>
    <n v="104410"/>
    <x v="1"/>
    <s v="Jul 2021"/>
  </r>
  <r>
    <s v="Constantino Espley"/>
    <s v="Male"/>
    <s v="Finance"/>
    <n v="30"/>
    <d v="2022-02-14T00:00:00"/>
    <n v="96800"/>
    <x v="1"/>
    <s v="Feb 2022"/>
  </r>
  <r>
    <s v="Karlen McCaffrey"/>
    <s v="Female"/>
    <s v="Finance"/>
    <n v="34"/>
    <d v="2021-09-20T00:00:00"/>
    <n v="85000"/>
    <x v="1"/>
    <s v="Sep 2021"/>
  </r>
  <r>
    <s v="Drusy MacCombe"/>
    <s v="Male"/>
    <s v="Sales"/>
    <n v="28"/>
    <d v="2022-09-16T00:00:00"/>
    <n v="43510"/>
    <x v="4"/>
    <s v="Sep 2022"/>
  </r>
  <r>
    <s v="My Hanscome"/>
    <s v="Male"/>
    <s v="Finance"/>
    <n v="33"/>
    <d v="2021-02-16T00:00:00"/>
    <n v="59430"/>
    <x v="1"/>
    <s v="Feb 2021"/>
  </r>
  <r>
    <s v="Teressa Udden"/>
    <s v="Female"/>
    <s v="Finance"/>
    <n v="33"/>
    <d v="2020-08-24T00:00:00"/>
    <n v="65360"/>
    <x v="1"/>
    <s v="Aug 2020"/>
  </r>
  <r>
    <s v="Crissie Cordel"/>
    <s v="Female"/>
    <s v="Procurement"/>
    <n v="32"/>
    <d v="2022-02-19T00:00:00"/>
    <n v="41570"/>
    <x v="1"/>
    <s v="Feb 2022"/>
  </r>
  <r>
    <s v="Elia Cockton"/>
    <s v="Female"/>
    <s v="Website"/>
    <n v="33"/>
    <d v="2021-04-26T00:00:00"/>
    <n v="75280"/>
    <x v="1"/>
    <s v="Apr 2021"/>
  </r>
  <r>
    <s v="Gigi Bohling"/>
    <s v="Male"/>
    <s v="Sales"/>
    <n v="33"/>
    <d v="2021-07-08T00:00:00"/>
    <n v="74550"/>
    <x v="1"/>
    <s v="Jul 2021"/>
  </r>
  <r>
    <s v="Ebonee Roxburgh"/>
    <s v="Male"/>
    <s v="Procurement"/>
    <n v="30"/>
    <d v="2022-05-20T00:00:00"/>
    <n v="67950"/>
    <x v="1"/>
    <s v="May 2022"/>
  </r>
  <r>
    <s v="Shayne Stegel"/>
    <s v="Male"/>
    <s v="Finance"/>
    <n v="42"/>
    <d v="2022-06-19T00:00:00"/>
    <n v="70270"/>
    <x v="2"/>
    <s v="Jun 2022"/>
  </r>
  <r>
    <s v="Zach Polon"/>
    <s v="Male"/>
    <s v="Procurement"/>
    <n v="26"/>
    <d v="2021-08-03T00:00:00"/>
    <n v="53540"/>
    <x v="1"/>
    <s v="Aug 2021"/>
  </r>
  <r>
    <s v="Lindy Guillet"/>
    <s v="Male"/>
    <s v="Sales"/>
    <n v="22"/>
    <d v="2021-09-07T00:00:00"/>
    <n v="112780"/>
    <x v="0"/>
    <s v="Sep 2021"/>
  </r>
  <r>
    <s v="Ambros Murthwaite"/>
    <s v="Male"/>
    <s v="Procurement"/>
    <n v="46"/>
    <d v="2022-07-16T00:00:00"/>
    <n v="70610"/>
    <x v="1"/>
    <s v="Jul 2022"/>
  </r>
  <r>
    <s v="Tatum Hush"/>
    <s v="Female"/>
    <s v="Sales"/>
    <n v="28"/>
    <d v="2021-06-10T00:00:00"/>
    <n v="53240"/>
    <x v="1"/>
    <s v="Jun 2021"/>
  </r>
  <r>
    <s v="Benny Karolovsky"/>
    <s v="Other"/>
    <s v="Finance"/>
    <n v="37"/>
    <d v="2020-11-11T00:00:00"/>
    <n v="115440"/>
    <x v="2"/>
    <s v="Nov 2020"/>
  </r>
  <r>
    <s v="Hoyt D'Alesco"/>
    <s v="Male"/>
    <s v="Sales"/>
    <n v="32"/>
    <d v="2021-09-26T00:00:00"/>
    <n v="53540"/>
    <x v="1"/>
    <s v="Sep 2021"/>
  </r>
  <r>
    <s v="Halimeda Kuscha"/>
    <s v="Female"/>
    <s v="Procurement"/>
    <n v="30"/>
    <d v="2022-10-27T00:00:00"/>
    <n v="112570"/>
    <x v="1"/>
    <s v="Oct 2022"/>
  </r>
  <r>
    <s v="Erin Androsik"/>
    <s v="Male"/>
    <s v="Procurement"/>
    <n v="33"/>
    <d v="2022-05-20T00:00:00"/>
    <n v="48530"/>
    <x v="0"/>
    <s v="May 2022"/>
  </r>
  <r>
    <s v="Vic Radolf"/>
    <s v="Female"/>
    <s v="Website"/>
    <n v="24"/>
    <d v="2020-11-13T00:00:00"/>
    <n v="62780"/>
    <x v="1"/>
    <s v="Nov 2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2DE12-F207-4FC8-A18D-60B6116C9E9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fn ">
  <location ref="F29:G35" firstHeaderRow="1" firstDataRow="1" firstDataCol="1"/>
  <pivotFields count="8">
    <pivotField showAll="0"/>
    <pivotField showAll="0"/>
    <pivotField showAll="0"/>
    <pivotField numFmtId="1" showAll="0"/>
    <pivotField numFmtId="14" showAll="0"/>
    <pivotField dataField="1" numFmtId="165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5" subtotal="average" baseField="6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32316F-8B93-47F3-8596-B92FF2E336C0}" name="Table2" displayName="Table2" ref="B1:I101" totalsRowShown="0" headerRowDxfId="4">
  <autoFilter ref="B1:I101" xr:uid="{5532316F-8B93-47F3-8596-B92FF2E336C0}"/>
  <tableColumns count="8">
    <tableColumn id="1" xr3:uid="{E7148F1D-1949-4943-96C3-EE7437E8CE8A}" name="Name"/>
    <tableColumn id="2" xr3:uid="{F9961580-3E6F-4B05-B7A1-CAEE2616426C}" name="Gender"/>
    <tableColumn id="3" xr3:uid="{64B3A15B-0336-4673-826B-C0A9E82243CD}" name="Department"/>
    <tableColumn id="4" xr3:uid="{C536DDA3-A89F-4131-8471-31727EAC8553}" name="Age" dataDxfId="3"/>
    <tableColumn id="5" xr3:uid="{FBA1CAAE-DBA4-4399-A595-6E94BC0C38EF}" name="Date Joined" dataDxfId="2"/>
    <tableColumn id="6" xr3:uid="{DCACA80E-DFA6-4FB0-B6B1-EF6E6DC49EA9}" name="Salary" dataDxfId="1"/>
    <tableColumn id="7" xr3:uid="{8CFE9BEF-DC66-4F9D-8F60-E293AAC191D6}" name="Rating"/>
    <tableColumn id="8" xr3:uid="{2AFA7F53-F8FB-4068-AC7B-3E096575C98C}" name="Period" dataDxfId="0">
      <calculatedColumnFormula>TEXT(F2,"mmm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8F35-C8A1-4F9D-89FB-4574F0725702}">
  <dimension ref="A1:G101"/>
  <sheetViews>
    <sheetView workbookViewId="0">
      <selection activeCell="B102" sqref="B102"/>
    </sheetView>
  </sheetViews>
  <sheetFormatPr defaultRowHeight="14.4" x14ac:dyDescent="0.3"/>
  <cols>
    <col min="1" max="1" width="19.77734375" customWidth="1"/>
    <col min="2" max="5" width="16.33203125" customWidth="1"/>
    <col min="6" max="6" width="16.33203125" style="6" customWidth="1"/>
    <col min="7" max="7" width="16.33203125" customWidth="1"/>
  </cols>
  <sheetData>
    <row r="1" spans="1:7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</row>
    <row r="2" spans="1:7" x14ac:dyDescent="0.3">
      <c r="A2" t="s">
        <v>58</v>
      </c>
      <c r="B2" t="s">
        <v>15</v>
      </c>
      <c r="C2" t="s">
        <v>19</v>
      </c>
      <c r="D2">
        <v>22</v>
      </c>
      <c r="E2" s="1">
        <v>44446</v>
      </c>
      <c r="F2" s="6">
        <v>112780</v>
      </c>
      <c r="G2" t="s">
        <v>13</v>
      </c>
    </row>
    <row r="3" spans="1:7" x14ac:dyDescent="0.3">
      <c r="A3" t="s">
        <v>70</v>
      </c>
      <c r="B3" t="s">
        <v>15</v>
      </c>
      <c r="C3" t="s">
        <v>9</v>
      </c>
      <c r="D3">
        <v>46</v>
      </c>
      <c r="E3" s="1">
        <v>44758</v>
      </c>
      <c r="F3" s="6">
        <v>70610</v>
      </c>
      <c r="G3" t="s">
        <v>16</v>
      </c>
    </row>
    <row r="4" spans="1:7" x14ac:dyDescent="0.3">
      <c r="A4" t="s">
        <v>75</v>
      </c>
      <c r="B4" t="s">
        <v>8</v>
      </c>
      <c r="C4" t="s">
        <v>19</v>
      </c>
      <c r="D4">
        <v>28</v>
      </c>
      <c r="E4" s="1">
        <v>44357</v>
      </c>
      <c r="F4" s="6">
        <v>53240</v>
      </c>
      <c r="G4" t="s">
        <v>16</v>
      </c>
    </row>
    <row r="5" spans="1:7" x14ac:dyDescent="0.3">
      <c r="A5" t="s">
        <v>49</v>
      </c>
      <c r="B5" t="s">
        <v>231</v>
      </c>
      <c r="C5" t="s">
        <v>21</v>
      </c>
      <c r="D5">
        <v>37</v>
      </c>
      <c r="E5" s="1">
        <v>44146</v>
      </c>
      <c r="F5" s="6">
        <v>115440</v>
      </c>
      <c r="G5" t="s">
        <v>24</v>
      </c>
    </row>
    <row r="6" spans="1:7" x14ac:dyDescent="0.3">
      <c r="A6" t="s">
        <v>65</v>
      </c>
      <c r="B6" t="s">
        <v>15</v>
      </c>
      <c r="C6" t="s">
        <v>19</v>
      </c>
      <c r="D6">
        <v>32</v>
      </c>
      <c r="E6" s="1">
        <v>44465</v>
      </c>
      <c r="F6" s="6">
        <v>53540</v>
      </c>
      <c r="G6" t="s">
        <v>16</v>
      </c>
    </row>
    <row r="7" spans="1:7" x14ac:dyDescent="0.3">
      <c r="A7" t="s">
        <v>81</v>
      </c>
      <c r="B7" t="s">
        <v>8</v>
      </c>
      <c r="C7" t="s">
        <v>9</v>
      </c>
      <c r="D7">
        <v>30</v>
      </c>
      <c r="E7" s="1">
        <v>44861</v>
      </c>
      <c r="F7" s="6">
        <v>112570</v>
      </c>
      <c r="G7" t="s">
        <v>16</v>
      </c>
    </row>
    <row r="8" spans="1:7" x14ac:dyDescent="0.3">
      <c r="A8" t="s">
        <v>51</v>
      </c>
      <c r="B8" t="s">
        <v>15</v>
      </c>
      <c r="C8" t="s">
        <v>9</v>
      </c>
      <c r="D8">
        <v>33</v>
      </c>
      <c r="E8" s="1">
        <v>44701</v>
      </c>
      <c r="F8" s="6">
        <v>48530</v>
      </c>
      <c r="G8" t="s">
        <v>13</v>
      </c>
    </row>
    <row r="9" spans="1:7" x14ac:dyDescent="0.3">
      <c r="A9" t="s">
        <v>61</v>
      </c>
      <c r="B9" t="s">
        <v>8</v>
      </c>
      <c r="C9" t="s">
        <v>12</v>
      </c>
      <c r="D9">
        <v>24</v>
      </c>
      <c r="E9" s="1">
        <v>44148</v>
      </c>
      <c r="F9" s="6">
        <v>62780</v>
      </c>
      <c r="G9" t="s">
        <v>16</v>
      </c>
    </row>
    <row r="10" spans="1:7" x14ac:dyDescent="0.3">
      <c r="A10" t="s">
        <v>82</v>
      </c>
      <c r="B10" t="s">
        <v>15</v>
      </c>
      <c r="C10" t="s">
        <v>12</v>
      </c>
      <c r="D10">
        <v>33</v>
      </c>
      <c r="E10" s="1">
        <v>44509</v>
      </c>
      <c r="F10" s="6">
        <v>53870</v>
      </c>
      <c r="G10" t="s">
        <v>16</v>
      </c>
    </row>
    <row r="11" spans="1:7" x14ac:dyDescent="0.3">
      <c r="A11" t="s">
        <v>60</v>
      </c>
      <c r="B11" t="s">
        <v>8</v>
      </c>
      <c r="C11" t="s">
        <v>56</v>
      </c>
      <c r="D11">
        <v>27</v>
      </c>
      <c r="E11" s="1">
        <v>44122</v>
      </c>
      <c r="F11" s="6">
        <v>119110</v>
      </c>
      <c r="G11" t="s">
        <v>16</v>
      </c>
    </row>
    <row r="12" spans="1:7" x14ac:dyDescent="0.3">
      <c r="A12" t="s">
        <v>87</v>
      </c>
      <c r="B12" t="s">
        <v>15</v>
      </c>
      <c r="C12" t="s">
        <v>12</v>
      </c>
      <c r="D12">
        <v>29</v>
      </c>
      <c r="E12" s="1">
        <v>44180</v>
      </c>
      <c r="F12" s="6">
        <v>112110</v>
      </c>
      <c r="G12" t="s">
        <v>24</v>
      </c>
    </row>
    <row r="13" spans="1:7" x14ac:dyDescent="0.3">
      <c r="A13" t="s">
        <v>76</v>
      </c>
      <c r="B13" t="s">
        <v>15</v>
      </c>
      <c r="C13" t="s">
        <v>19</v>
      </c>
      <c r="D13">
        <v>25</v>
      </c>
      <c r="E13" s="1">
        <v>44383</v>
      </c>
      <c r="F13" s="6">
        <v>65700</v>
      </c>
      <c r="G13" t="s">
        <v>16</v>
      </c>
    </row>
    <row r="14" spans="1:7" x14ac:dyDescent="0.3">
      <c r="A14" t="s">
        <v>97</v>
      </c>
      <c r="B14" t="s">
        <v>15</v>
      </c>
      <c r="C14" t="s">
        <v>12</v>
      </c>
      <c r="D14">
        <v>37</v>
      </c>
      <c r="E14" s="1">
        <v>44701</v>
      </c>
      <c r="F14" s="6">
        <v>69070</v>
      </c>
      <c r="G14" t="s">
        <v>16</v>
      </c>
    </row>
    <row r="15" spans="1:7" x14ac:dyDescent="0.3">
      <c r="A15" t="s">
        <v>22</v>
      </c>
      <c r="B15" t="s">
        <v>15</v>
      </c>
      <c r="C15" t="s">
        <v>12</v>
      </c>
      <c r="D15">
        <v>20</v>
      </c>
      <c r="E15" s="1">
        <v>44459</v>
      </c>
      <c r="F15" s="6">
        <v>107700</v>
      </c>
      <c r="G15" t="s">
        <v>16</v>
      </c>
    </row>
    <row r="16" spans="1:7" x14ac:dyDescent="0.3">
      <c r="A16" t="s">
        <v>84</v>
      </c>
      <c r="B16" t="s">
        <v>8</v>
      </c>
      <c r="C16" t="s">
        <v>12</v>
      </c>
      <c r="D16">
        <v>32</v>
      </c>
      <c r="E16" s="1">
        <v>44354</v>
      </c>
      <c r="F16" s="6">
        <v>43840</v>
      </c>
      <c r="G16" t="s">
        <v>13</v>
      </c>
    </row>
    <row r="17" spans="1:7" x14ac:dyDescent="0.3">
      <c r="A17" t="s">
        <v>105</v>
      </c>
      <c r="B17" t="s">
        <v>15</v>
      </c>
      <c r="C17" t="s">
        <v>9</v>
      </c>
      <c r="D17">
        <v>40</v>
      </c>
      <c r="E17" s="1">
        <v>44263</v>
      </c>
      <c r="F17" s="6">
        <v>99750</v>
      </c>
      <c r="G17" t="s">
        <v>16</v>
      </c>
    </row>
    <row r="18" spans="1:7" x14ac:dyDescent="0.3">
      <c r="A18" t="s">
        <v>47</v>
      </c>
      <c r="B18" t="s">
        <v>15</v>
      </c>
      <c r="C18" t="s">
        <v>9</v>
      </c>
      <c r="D18">
        <v>21</v>
      </c>
      <c r="E18" s="1">
        <v>44104</v>
      </c>
      <c r="F18" s="6">
        <v>37920</v>
      </c>
      <c r="G18" t="s">
        <v>16</v>
      </c>
    </row>
    <row r="19" spans="1:7" x14ac:dyDescent="0.3">
      <c r="A19" t="s">
        <v>31</v>
      </c>
      <c r="B19" t="s">
        <v>15</v>
      </c>
      <c r="C19" t="s">
        <v>9</v>
      </c>
      <c r="D19">
        <v>21</v>
      </c>
      <c r="E19" s="1">
        <v>44762</v>
      </c>
      <c r="F19" s="6">
        <v>57090</v>
      </c>
      <c r="G19" t="s">
        <v>16</v>
      </c>
    </row>
    <row r="20" spans="1:7" x14ac:dyDescent="0.3">
      <c r="A20" t="s">
        <v>30</v>
      </c>
      <c r="B20" t="s">
        <v>8</v>
      </c>
      <c r="C20" t="s">
        <v>12</v>
      </c>
      <c r="D20">
        <v>31</v>
      </c>
      <c r="E20" s="1">
        <v>44145</v>
      </c>
      <c r="F20" s="6">
        <v>41980</v>
      </c>
      <c r="G20" t="s">
        <v>16</v>
      </c>
    </row>
    <row r="21" spans="1:7" x14ac:dyDescent="0.3">
      <c r="A21" t="s">
        <v>78</v>
      </c>
      <c r="B21" t="s">
        <v>15</v>
      </c>
      <c r="C21" t="s">
        <v>56</v>
      </c>
      <c r="D21">
        <v>21</v>
      </c>
      <c r="E21" s="1">
        <v>44242</v>
      </c>
      <c r="F21" s="6">
        <v>75880</v>
      </c>
      <c r="G21" t="s">
        <v>16</v>
      </c>
    </row>
    <row r="22" spans="1:7" x14ac:dyDescent="0.3">
      <c r="A22" t="s">
        <v>36</v>
      </c>
      <c r="B22" t="s">
        <v>8</v>
      </c>
      <c r="C22" t="s">
        <v>21</v>
      </c>
      <c r="D22">
        <v>34</v>
      </c>
      <c r="E22" s="1">
        <v>44653</v>
      </c>
      <c r="F22" s="6">
        <v>58940</v>
      </c>
      <c r="G22" t="s">
        <v>16</v>
      </c>
    </row>
    <row r="23" spans="1:7" x14ac:dyDescent="0.3">
      <c r="A23" t="s">
        <v>27</v>
      </c>
      <c r="B23" t="s">
        <v>8</v>
      </c>
      <c r="C23" t="s">
        <v>21</v>
      </c>
      <c r="D23">
        <v>30</v>
      </c>
      <c r="E23" s="1">
        <v>44389</v>
      </c>
      <c r="F23" s="6">
        <v>67910</v>
      </c>
      <c r="G23" t="s">
        <v>24</v>
      </c>
    </row>
    <row r="24" spans="1:7" x14ac:dyDescent="0.3">
      <c r="A24" t="s">
        <v>26</v>
      </c>
      <c r="B24" t="s">
        <v>8</v>
      </c>
      <c r="C24" t="s">
        <v>12</v>
      </c>
      <c r="D24">
        <v>31</v>
      </c>
      <c r="E24" s="1">
        <v>44663</v>
      </c>
      <c r="F24" s="6">
        <v>58100</v>
      </c>
      <c r="G24" t="s">
        <v>16</v>
      </c>
    </row>
    <row r="25" spans="1:7" x14ac:dyDescent="0.3">
      <c r="A25" t="s">
        <v>53</v>
      </c>
      <c r="B25" t="s">
        <v>15</v>
      </c>
      <c r="C25" t="s">
        <v>21</v>
      </c>
      <c r="D25">
        <v>27</v>
      </c>
      <c r="E25" s="1">
        <v>44567</v>
      </c>
      <c r="F25" s="6">
        <v>48980</v>
      </c>
      <c r="G25" t="s">
        <v>16</v>
      </c>
    </row>
    <row r="26" spans="1:7" x14ac:dyDescent="0.3">
      <c r="A26" t="s">
        <v>20</v>
      </c>
      <c r="B26" t="s">
        <v>231</v>
      </c>
      <c r="C26" t="s">
        <v>21</v>
      </c>
      <c r="D26">
        <v>30</v>
      </c>
      <c r="E26" s="1">
        <v>44597</v>
      </c>
      <c r="F26" s="6">
        <v>64000</v>
      </c>
      <c r="G26" t="s">
        <v>16</v>
      </c>
    </row>
    <row r="27" spans="1:7" x14ac:dyDescent="0.3">
      <c r="A27" t="s">
        <v>7</v>
      </c>
      <c r="B27" t="s">
        <v>8</v>
      </c>
      <c r="C27" t="s">
        <v>9</v>
      </c>
      <c r="D27">
        <v>42</v>
      </c>
      <c r="E27" s="1">
        <v>44779</v>
      </c>
      <c r="F27" s="6">
        <v>75000</v>
      </c>
      <c r="G27" t="s">
        <v>10</v>
      </c>
    </row>
    <row r="28" spans="1:7" x14ac:dyDescent="0.3">
      <c r="A28" t="s">
        <v>74</v>
      </c>
      <c r="B28" t="s">
        <v>8</v>
      </c>
      <c r="C28" t="s">
        <v>12</v>
      </c>
      <c r="D28">
        <v>40</v>
      </c>
      <c r="E28" s="1">
        <v>44337</v>
      </c>
      <c r="F28" s="6">
        <v>87620</v>
      </c>
      <c r="G28" t="s">
        <v>16</v>
      </c>
    </row>
    <row r="29" spans="1:7" x14ac:dyDescent="0.3">
      <c r="A29" t="s">
        <v>44</v>
      </c>
      <c r="B29" t="s">
        <v>8</v>
      </c>
      <c r="C29" t="s">
        <v>12</v>
      </c>
      <c r="D29">
        <v>29</v>
      </c>
      <c r="E29" s="1">
        <v>44023</v>
      </c>
      <c r="F29" s="6">
        <v>34980</v>
      </c>
      <c r="G29" t="s">
        <v>16</v>
      </c>
    </row>
    <row r="30" spans="1:7" x14ac:dyDescent="0.3">
      <c r="A30" t="s">
        <v>35</v>
      </c>
      <c r="B30" t="s">
        <v>8</v>
      </c>
      <c r="C30" t="s">
        <v>21</v>
      </c>
      <c r="D30">
        <v>28</v>
      </c>
      <c r="E30" s="1">
        <v>44185</v>
      </c>
      <c r="F30" s="6">
        <v>75970</v>
      </c>
      <c r="G30" t="s">
        <v>16</v>
      </c>
    </row>
    <row r="31" spans="1:7" x14ac:dyDescent="0.3">
      <c r="A31" t="s">
        <v>38</v>
      </c>
      <c r="B31" t="s">
        <v>8</v>
      </c>
      <c r="C31" t="s">
        <v>21</v>
      </c>
      <c r="D31">
        <v>34</v>
      </c>
      <c r="E31" s="1">
        <v>44612</v>
      </c>
      <c r="F31" s="6">
        <v>60130</v>
      </c>
      <c r="G31" t="s">
        <v>16</v>
      </c>
    </row>
    <row r="32" spans="1:7" x14ac:dyDescent="0.3">
      <c r="A32" t="s">
        <v>41</v>
      </c>
      <c r="B32" t="s">
        <v>8</v>
      </c>
      <c r="C32" t="s">
        <v>12</v>
      </c>
      <c r="D32">
        <v>33</v>
      </c>
      <c r="E32" s="1">
        <v>44374</v>
      </c>
      <c r="F32" s="6">
        <v>75480</v>
      </c>
      <c r="G32" t="s">
        <v>42</v>
      </c>
    </row>
    <row r="33" spans="1:7" x14ac:dyDescent="0.3">
      <c r="A33" t="s">
        <v>40</v>
      </c>
      <c r="B33" t="s">
        <v>15</v>
      </c>
      <c r="C33" t="s">
        <v>9</v>
      </c>
      <c r="D33">
        <v>33</v>
      </c>
      <c r="E33" s="1">
        <v>44164</v>
      </c>
      <c r="F33" s="6">
        <v>115920</v>
      </c>
      <c r="G33" t="s">
        <v>16</v>
      </c>
    </row>
    <row r="34" spans="1:7" x14ac:dyDescent="0.3">
      <c r="A34" t="s">
        <v>48</v>
      </c>
      <c r="B34" t="s">
        <v>8</v>
      </c>
      <c r="C34" t="s">
        <v>19</v>
      </c>
      <c r="D34">
        <v>36</v>
      </c>
      <c r="E34" s="1">
        <v>44494</v>
      </c>
      <c r="F34" s="6">
        <v>78540</v>
      </c>
      <c r="G34" t="s">
        <v>16</v>
      </c>
    </row>
    <row r="35" spans="1:7" x14ac:dyDescent="0.3">
      <c r="A35" t="s">
        <v>34</v>
      </c>
      <c r="B35" t="s">
        <v>15</v>
      </c>
      <c r="C35" t="s">
        <v>9</v>
      </c>
      <c r="D35">
        <v>25</v>
      </c>
      <c r="E35" s="1">
        <v>44726</v>
      </c>
      <c r="F35" s="6">
        <v>109190</v>
      </c>
      <c r="G35" t="s">
        <v>13</v>
      </c>
    </row>
    <row r="36" spans="1:7" x14ac:dyDescent="0.3">
      <c r="A36" t="s">
        <v>73</v>
      </c>
      <c r="B36" t="s">
        <v>8</v>
      </c>
      <c r="C36" t="s">
        <v>19</v>
      </c>
      <c r="D36">
        <v>34</v>
      </c>
      <c r="E36" s="1">
        <v>44721</v>
      </c>
      <c r="F36" s="6">
        <v>49630</v>
      </c>
      <c r="G36" t="s">
        <v>24</v>
      </c>
    </row>
    <row r="37" spans="1:7" x14ac:dyDescent="0.3">
      <c r="A37" t="s">
        <v>107</v>
      </c>
      <c r="B37" t="s">
        <v>8</v>
      </c>
      <c r="C37" t="s">
        <v>9</v>
      </c>
      <c r="D37">
        <v>28</v>
      </c>
      <c r="E37" s="1">
        <v>44630</v>
      </c>
      <c r="F37" s="6">
        <v>99970</v>
      </c>
      <c r="G37" t="s">
        <v>16</v>
      </c>
    </row>
    <row r="38" spans="1:7" x14ac:dyDescent="0.3">
      <c r="A38" t="s">
        <v>71</v>
      </c>
      <c r="B38" t="s">
        <v>8</v>
      </c>
      <c r="C38" t="s">
        <v>12</v>
      </c>
      <c r="D38">
        <v>33</v>
      </c>
      <c r="E38" s="1">
        <v>44190</v>
      </c>
      <c r="F38" s="6">
        <v>96140</v>
      </c>
      <c r="G38" t="s">
        <v>16</v>
      </c>
    </row>
    <row r="39" spans="1:7" x14ac:dyDescent="0.3">
      <c r="A39" t="s">
        <v>50</v>
      </c>
      <c r="B39" t="s">
        <v>15</v>
      </c>
      <c r="C39" t="s">
        <v>9</v>
      </c>
      <c r="D39">
        <v>31</v>
      </c>
      <c r="E39" s="1">
        <v>44724</v>
      </c>
      <c r="F39" s="6">
        <v>103550</v>
      </c>
      <c r="G39" t="s">
        <v>16</v>
      </c>
    </row>
    <row r="40" spans="1:7" x14ac:dyDescent="0.3">
      <c r="A40" t="s">
        <v>14</v>
      </c>
      <c r="B40" t="s">
        <v>15</v>
      </c>
      <c r="C40" t="s">
        <v>12</v>
      </c>
      <c r="D40">
        <v>31</v>
      </c>
      <c r="E40" s="1">
        <v>44511</v>
      </c>
      <c r="F40" s="6">
        <v>48950</v>
      </c>
      <c r="G40" t="s">
        <v>16</v>
      </c>
    </row>
    <row r="41" spans="1:7" x14ac:dyDescent="0.3">
      <c r="A41" t="s">
        <v>63</v>
      </c>
      <c r="B41" t="s">
        <v>15</v>
      </c>
      <c r="C41" t="s">
        <v>21</v>
      </c>
      <c r="D41">
        <v>24</v>
      </c>
      <c r="E41" s="1">
        <v>44436</v>
      </c>
      <c r="F41" s="6">
        <v>52610</v>
      </c>
      <c r="G41" t="s">
        <v>24</v>
      </c>
    </row>
    <row r="42" spans="1:7" x14ac:dyDescent="0.3">
      <c r="A42" t="s">
        <v>72</v>
      </c>
      <c r="B42" t="s">
        <v>8</v>
      </c>
      <c r="C42" t="s">
        <v>9</v>
      </c>
      <c r="D42">
        <v>36</v>
      </c>
      <c r="E42" s="1">
        <v>44529</v>
      </c>
      <c r="F42" s="6">
        <v>78390</v>
      </c>
      <c r="G42" t="s">
        <v>16</v>
      </c>
    </row>
    <row r="43" spans="1:7" x14ac:dyDescent="0.3">
      <c r="A43" t="s">
        <v>88</v>
      </c>
      <c r="B43" t="s">
        <v>8</v>
      </c>
      <c r="C43" t="s">
        <v>21</v>
      </c>
      <c r="D43">
        <v>33</v>
      </c>
      <c r="E43" s="1">
        <v>44809</v>
      </c>
      <c r="F43" s="6">
        <v>86570</v>
      </c>
      <c r="G43" t="s">
        <v>16</v>
      </c>
    </row>
    <row r="44" spans="1:7" x14ac:dyDescent="0.3">
      <c r="A44" t="s">
        <v>92</v>
      </c>
      <c r="B44" t="s">
        <v>8</v>
      </c>
      <c r="C44" t="s">
        <v>12</v>
      </c>
      <c r="D44">
        <v>27</v>
      </c>
      <c r="E44" s="1">
        <v>44686</v>
      </c>
      <c r="F44" s="6">
        <v>83750</v>
      </c>
      <c r="G44" t="s">
        <v>16</v>
      </c>
    </row>
    <row r="45" spans="1:7" x14ac:dyDescent="0.3">
      <c r="A45" t="s">
        <v>102</v>
      </c>
      <c r="B45" t="s">
        <v>8</v>
      </c>
      <c r="C45" t="s">
        <v>21</v>
      </c>
      <c r="D45">
        <v>34</v>
      </c>
      <c r="E45" s="1">
        <v>44445</v>
      </c>
      <c r="F45" s="6">
        <v>92450</v>
      </c>
      <c r="G45" t="s">
        <v>16</v>
      </c>
    </row>
    <row r="46" spans="1:7" x14ac:dyDescent="0.3">
      <c r="A46" t="s">
        <v>64</v>
      </c>
      <c r="B46" t="s">
        <v>15</v>
      </c>
      <c r="C46" t="s">
        <v>12</v>
      </c>
      <c r="D46">
        <v>20</v>
      </c>
      <c r="E46" s="1">
        <v>44183</v>
      </c>
      <c r="F46" s="6">
        <v>112650</v>
      </c>
      <c r="G46" t="s">
        <v>16</v>
      </c>
    </row>
    <row r="47" spans="1:7" x14ac:dyDescent="0.3">
      <c r="A47" t="s">
        <v>104</v>
      </c>
      <c r="B47" t="s">
        <v>15</v>
      </c>
      <c r="C47" t="s">
        <v>9</v>
      </c>
      <c r="D47">
        <v>20</v>
      </c>
      <c r="E47" s="1">
        <v>44744</v>
      </c>
      <c r="F47" s="6">
        <v>79570</v>
      </c>
      <c r="G47" t="s">
        <v>16</v>
      </c>
    </row>
    <row r="48" spans="1:7" x14ac:dyDescent="0.3">
      <c r="A48" t="s">
        <v>91</v>
      </c>
      <c r="B48" t="s">
        <v>8</v>
      </c>
      <c r="C48" t="s">
        <v>19</v>
      </c>
      <c r="D48">
        <v>20</v>
      </c>
      <c r="E48" s="1">
        <v>44537</v>
      </c>
      <c r="F48" s="6">
        <v>68900</v>
      </c>
      <c r="G48" t="s">
        <v>24</v>
      </c>
    </row>
    <row r="49" spans="1:7" x14ac:dyDescent="0.3">
      <c r="A49" t="s">
        <v>39</v>
      </c>
      <c r="B49" t="s">
        <v>8</v>
      </c>
      <c r="C49" t="s">
        <v>12</v>
      </c>
      <c r="D49">
        <v>25</v>
      </c>
      <c r="E49" s="1">
        <v>44694</v>
      </c>
      <c r="F49" s="6">
        <v>80700</v>
      </c>
      <c r="G49" t="s">
        <v>13</v>
      </c>
    </row>
    <row r="50" spans="1:7" x14ac:dyDescent="0.3">
      <c r="A50" t="s">
        <v>100</v>
      </c>
      <c r="B50" t="s">
        <v>15</v>
      </c>
      <c r="C50" t="s">
        <v>9</v>
      </c>
      <c r="D50">
        <v>19</v>
      </c>
      <c r="E50" s="1">
        <v>44277</v>
      </c>
      <c r="F50" s="6">
        <v>58960</v>
      </c>
      <c r="G50" t="s">
        <v>16</v>
      </c>
    </row>
    <row r="51" spans="1:7" x14ac:dyDescent="0.3">
      <c r="A51" t="s">
        <v>106</v>
      </c>
      <c r="B51" t="s">
        <v>15</v>
      </c>
      <c r="C51" t="s">
        <v>12</v>
      </c>
      <c r="D51">
        <v>36</v>
      </c>
      <c r="E51" s="1">
        <v>44019</v>
      </c>
      <c r="F51" s="6">
        <v>118840</v>
      </c>
      <c r="G51" t="s">
        <v>16</v>
      </c>
    </row>
    <row r="52" spans="1:7" x14ac:dyDescent="0.3">
      <c r="A52" t="s">
        <v>29</v>
      </c>
      <c r="B52" t="s">
        <v>15</v>
      </c>
      <c r="C52" t="s">
        <v>21</v>
      </c>
      <c r="D52">
        <v>28</v>
      </c>
      <c r="E52" s="1">
        <v>44041</v>
      </c>
      <c r="F52" s="6">
        <v>48170</v>
      </c>
      <c r="G52" t="s">
        <v>13</v>
      </c>
    </row>
    <row r="53" spans="1:7" x14ac:dyDescent="0.3">
      <c r="A53" t="s">
        <v>108</v>
      </c>
      <c r="B53" t="s">
        <v>8</v>
      </c>
      <c r="C53" t="s">
        <v>56</v>
      </c>
      <c r="D53">
        <v>32</v>
      </c>
      <c r="E53" s="1">
        <v>44400</v>
      </c>
      <c r="F53" s="6">
        <v>45510</v>
      </c>
      <c r="G53" t="s">
        <v>16</v>
      </c>
    </row>
    <row r="54" spans="1:7" x14ac:dyDescent="0.3">
      <c r="A54" t="s">
        <v>64</v>
      </c>
      <c r="B54" t="s">
        <v>15</v>
      </c>
      <c r="C54" t="s">
        <v>9</v>
      </c>
      <c r="D54">
        <v>34</v>
      </c>
      <c r="E54" s="1">
        <v>44703</v>
      </c>
      <c r="F54" s="6">
        <v>112650</v>
      </c>
      <c r="G54" t="s">
        <v>16</v>
      </c>
    </row>
    <row r="55" spans="1:7" x14ac:dyDescent="0.3">
      <c r="A55" t="s">
        <v>83</v>
      </c>
      <c r="B55" t="s">
        <v>8</v>
      </c>
      <c r="C55" t="s">
        <v>9</v>
      </c>
      <c r="D55">
        <v>36</v>
      </c>
      <c r="E55" s="1">
        <v>44085</v>
      </c>
      <c r="F55" s="6">
        <v>114890</v>
      </c>
      <c r="G55" t="s">
        <v>16</v>
      </c>
    </row>
    <row r="56" spans="1:7" x14ac:dyDescent="0.3">
      <c r="A56" t="s">
        <v>67</v>
      </c>
      <c r="B56" t="s">
        <v>15</v>
      </c>
      <c r="C56" t="s">
        <v>12</v>
      </c>
      <c r="D56">
        <v>30</v>
      </c>
      <c r="E56" s="1">
        <v>44850</v>
      </c>
      <c r="F56" s="6">
        <v>69710</v>
      </c>
      <c r="G56" t="s">
        <v>16</v>
      </c>
    </row>
    <row r="57" spans="1:7" x14ac:dyDescent="0.3">
      <c r="A57" t="s">
        <v>94</v>
      </c>
      <c r="B57" t="s">
        <v>15</v>
      </c>
      <c r="C57" t="s">
        <v>21</v>
      </c>
      <c r="D57">
        <v>36</v>
      </c>
      <c r="E57" s="1">
        <v>44333</v>
      </c>
      <c r="F57" s="6">
        <v>71380</v>
      </c>
      <c r="G57" t="s">
        <v>16</v>
      </c>
    </row>
    <row r="58" spans="1:7" x14ac:dyDescent="0.3">
      <c r="A58" t="s">
        <v>33</v>
      </c>
      <c r="B58" t="s">
        <v>8</v>
      </c>
      <c r="C58" t="s">
        <v>19</v>
      </c>
      <c r="D58">
        <v>38</v>
      </c>
      <c r="E58" s="1">
        <v>44377</v>
      </c>
      <c r="F58" s="6">
        <v>109160</v>
      </c>
      <c r="G58" t="s">
        <v>10</v>
      </c>
    </row>
    <row r="59" spans="1:7" x14ac:dyDescent="0.3">
      <c r="A59" t="s">
        <v>98</v>
      </c>
      <c r="B59" t="s">
        <v>15</v>
      </c>
      <c r="C59" t="s">
        <v>9</v>
      </c>
      <c r="D59">
        <v>27</v>
      </c>
      <c r="E59" s="1">
        <v>44609</v>
      </c>
      <c r="F59" s="6">
        <v>113280</v>
      </c>
      <c r="G59" t="s">
        <v>42</v>
      </c>
    </row>
    <row r="60" spans="1:7" x14ac:dyDescent="0.3">
      <c r="A60" t="s">
        <v>25</v>
      </c>
      <c r="B60" t="s">
        <v>15</v>
      </c>
      <c r="C60" t="s">
        <v>12</v>
      </c>
      <c r="D60">
        <v>30</v>
      </c>
      <c r="E60" s="1">
        <v>44273</v>
      </c>
      <c r="F60" s="6">
        <v>69120</v>
      </c>
      <c r="G60" t="s">
        <v>16</v>
      </c>
    </row>
    <row r="61" spans="1:7" x14ac:dyDescent="0.3">
      <c r="A61" t="s">
        <v>55</v>
      </c>
      <c r="B61" t="s">
        <v>8</v>
      </c>
      <c r="C61" t="s">
        <v>56</v>
      </c>
      <c r="D61">
        <v>37</v>
      </c>
      <c r="E61" s="1">
        <v>44451</v>
      </c>
      <c r="F61" s="6">
        <v>118100</v>
      </c>
      <c r="G61" t="s">
        <v>16</v>
      </c>
    </row>
    <row r="62" spans="1:7" x14ac:dyDescent="0.3">
      <c r="A62" t="s">
        <v>62</v>
      </c>
      <c r="B62" t="s">
        <v>8</v>
      </c>
      <c r="C62" t="s">
        <v>9</v>
      </c>
      <c r="D62">
        <v>22</v>
      </c>
      <c r="E62" s="1">
        <v>44450</v>
      </c>
      <c r="F62" s="6">
        <v>76900</v>
      </c>
      <c r="G62" t="s">
        <v>13</v>
      </c>
    </row>
    <row r="63" spans="1:7" x14ac:dyDescent="0.3">
      <c r="A63" t="s">
        <v>17</v>
      </c>
      <c r="B63" t="s">
        <v>8</v>
      </c>
      <c r="C63" t="s">
        <v>12</v>
      </c>
      <c r="D63">
        <v>43</v>
      </c>
      <c r="E63" s="1">
        <v>45045</v>
      </c>
      <c r="F63" s="6">
        <v>114870</v>
      </c>
      <c r="G63" t="s">
        <v>16</v>
      </c>
    </row>
    <row r="64" spans="1:7" x14ac:dyDescent="0.3">
      <c r="A64" t="s">
        <v>52</v>
      </c>
      <c r="B64" t="s">
        <v>231</v>
      </c>
      <c r="C64" t="s">
        <v>12</v>
      </c>
      <c r="D64">
        <v>32</v>
      </c>
      <c r="E64" s="1">
        <v>44774</v>
      </c>
      <c r="F64" s="6">
        <v>91310</v>
      </c>
      <c r="G64" t="s">
        <v>16</v>
      </c>
    </row>
    <row r="65" spans="1:7" x14ac:dyDescent="0.3">
      <c r="A65" t="s">
        <v>43</v>
      </c>
      <c r="B65" t="s">
        <v>8</v>
      </c>
      <c r="C65" t="s">
        <v>9</v>
      </c>
      <c r="D65">
        <v>28</v>
      </c>
      <c r="E65" s="1">
        <v>44486</v>
      </c>
      <c r="F65" s="6">
        <v>104770</v>
      </c>
      <c r="G65" t="s">
        <v>16</v>
      </c>
    </row>
    <row r="66" spans="1:7" x14ac:dyDescent="0.3">
      <c r="A66" t="s">
        <v>89</v>
      </c>
      <c r="B66" t="s">
        <v>15</v>
      </c>
      <c r="C66" t="s">
        <v>19</v>
      </c>
      <c r="D66">
        <v>27</v>
      </c>
      <c r="E66" s="1">
        <v>44134</v>
      </c>
      <c r="F66" s="6">
        <v>54970</v>
      </c>
      <c r="G66" t="s">
        <v>16</v>
      </c>
    </row>
    <row r="67" spans="1:7" x14ac:dyDescent="0.3">
      <c r="A67" t="s">
        <v>11</v>
      </c>
      <c r="B67" t="s">
        <v>231</v>
      </c>
      <c r="C67" t="s">
        <v>12</v>
      </c>
      <c r="D67">
        <v>26</v>
      </c>
      <c r="E67" s="1">
        <v>44271</v>
      </c>
      <c r="F67" s="6">
        <v>90700</v>
      </c>
      <c r="G67" t="s">
        <v>13</v>
      </c>
    </row>
    <row r="68" spans="1:7" x14ac:dyDescent="0.3">
      <c r="A68" t="s">
        <v>109</v>
      </c>
      <c r="B68" t="s">
        <v>8</v>
      </c>
      <c r="C68" t="s">
        <v>19</v>
      </c>
      <c r="D68">
        <v>38</v>
      </c>
      <c r="E68" s="1">
        <v>44329</v>
      </c>
      <c r="F68" s="6">
        <v>56870</v>
      </c>
      <c r="G68" t="s">
        <v>13</v>
      </c>
    </row>
    <row r="69" spans="1:7" x14ac:dyDescent="0.3">
      <c r="A69" t="s">
        <v>77</v>
      </c>
      <c r="B69" t="s">
        <v>8</v>
      </c>
      <c r="C69" t="s">
        <v>19</v>
      </c>
      <c r="D69">
        <v>25</v>
      </c>
      <c r="E69" s="1">
        <v>44205</v>
      </c>
      <c r="F69" s="6">
        <v>92700</v>
      </c>
      <c r="G69" t="s">
        <v>16</v>
      </c>
    </row>
    <row r="70" spans="1:7" x14ac:dyDescent="0.3">
      <c r="A70" t="s">
        <v>32</v>
      </c>
      <c r="B70" t="s">
        <v>8</v>
      </c>
      <c r="C70" t="s">
        <v>21</v>
      </c>
      <c r="D70">
        <v>21</v>
      </c>
      <c r="E70" s="1">
        <v>44317</v>
      </c>
      <c r="F70" s="6">
        <v>65920</v>
      </c>
      <c r="G70" t="s">
        <v>16</v>
      </c>
    </row>
    <row r="71" spans="1:7" x14ac:dyDescent="0.3">
      <c r="A71" t="s">
        <v>59</v>
      </c>
      <c r="B71" t="s">
        <v>15</v>
      </c>
      <c r="C71" t="s">
        <v>9</v>
      </c>
      <c r="D71">
        <v>26</v>
      </c>
      <c r="E71" s="1">
        <v>44225</v>
      </c>
      <c r="F71" s="6">
        <v>47360</v>
      </c>
      <c r="G71" t="s">
        <v>16</v>
      </c>
    </row>
    <row r="72" spans="1:7" x14ac:dyDescent="0.3">
      <c r="A72" t="s">
        <v>37</v>
      </c>
      <c r="B72" t="s">
        <v>15</v>
      </c>
      <c r="C72" t="s">
        <v>9</v>
      </c>
      <c r="D72">
        <v>30</v>
      </c>
      <c r="E72" s="1">
        <v>44666</v>
      </c>
      <c r="F72" s="6">
        <v>60570</v>
      </c>
      <c r="G72" t="s">
        <v>16</v>
      </c>
    </row>
    <row r="73" spans="1:7" x14ac:dyDescent="0.3">
      <c r="A73" t="s">
        <v>96</v>
      </c>
      <c r="B73" t="s">
        <v>8</v>
      </c>
      <c r="C73" t="s">
        <v>9</v>
      </c>
      <c r="D73">
        <v>28</v>
      </c>
      <c r="E73" s="1">
        <v>44649</v>
      </c>
      <c r="F73" s="6">
        <v>104120</v>
      </c>
      <c r="G73" t="s">
        <v>16</v>
      </c>
    </row>
    <row r="74" spans="1:7" x14ac:dyDescent="0.3">
      <c r="A74" t="s">
        <v>23</v>
      </c>
      <c r="B74" t="s">
        <v>15</v>
      </c>
      <c r="C74" t="s">
        <v>12</v>
      </c>
      <c r="D74">
        <v>37</v>
      </c>
      <c r="E74" s="1">
        <v>44338</v>
      </c>
      <c r="F74" s="6">
        <v>88050</v>
      </c>
      <c r="G74" t="s">
        <v>24</v>
      </c>
    </row>
    <row r="75" spans="1:7" x14ac:dyDescent="0.3">
      <c r="A75" t="s">
        <v>103</v>
      </c>
      <c r="B75" t="s">
        <v>15</v>
      </c>
      <c r="C75" t="s">
        <v>12</v>
      </c>
      <c r="D75">
        <v>24</v>
      </c>
      <c r="E75" s="1">
        <v>44686</v>
      </c>
      <c r="F75" s="6">
        <v>100420</v>
      </c>
      <c r="G75" t="s">
        <v>16</v>
      </c>
    </row>
    <row r="76" spans="1:7" x14ac:dyDescent="0.3">
      <c r="A76" t="s">
        <v>54</v>
      </c>
      <c r="B76" t="s">
        <v>8</v>
      </c>
      <c r="C76" t="s">
        <v>9</v>
      </c>
      <c r="D76">
        <v>30</v>
      </c>
      <c r="E76" s="1">
        <v>44850</v>
      </c>
      <c r="F76" s="6">
        <v>114180</v>
      </c>
      <c r="G76" t="s">
        <v>16</v>
      </c>
    </row>
    <row r="77" spans="1:7" x14ac:dyDescent="0.3">
      <c r="A77" t="s">
        <v>86</v>
      </c>
      <c r="B77" t="s">
        <v>8</v>
      </c>
      <c r="C77" t="s">
        <v>12</v>
      </c>
      <c r="D77">
        <v>21</v>
      </c>
      <c r="E77" s="1">
        <v>44678</v>
      </c>
      <c r="F77" s="6">
        <v>33920</v>
      </c>
      <c r="G77" t="s">
        <v>16</v>
      </c>
    </row>
    <row r="78" spans="1:7" x14ac:dyDescent="0.3">
      <c r="A78" t="s">
        <v>69</v>
      </c>
      <c r="B78" t="s">
        <v>15</v>
      </c>
      <c r="C78" t="s">
        <v>9</v>
      </c>
      <c r="D78">
        <v>23</v>
      </c>
      <c r="E78" s="1">
        <v>44440</v>
      </c>
      <c r="F78" s="6">
        <v>106460</v>
      </c>
      <c r="G78" t="s">
        <v>16</v>
      </c>
    </row>
    <row r="79" spans="1:7" x14ac:dyDescent="0.3">
      <c r="A79" t="s">
        <v>57</v>
      </c>
      <c r="B79" t="s">
        <v>15</v>
      </c>
      <c r="C79" t="s">
        <v>9</v>
      </c>
      <c r="D79">
        <v>35</v>
      </c>
      <c r="E79" s="1">
        <v>44727</v>
      </c>
      <c r="F79" s="6">
        <v>40400</v>
      </c>
      <c r="G79" t="s">
        <v>16</v>
      </c>
    </row>
    <row r="80" spans="1:7" x14ac:dyDescent="0.3">
      <c r="A80" t="s">
        <v>68</v>
      </c>
      <c r="B80" t="s">
        <v>15</v>
      </c>
      <c r="C80" t="s">
        <v>21</v>
      </c>
      <c r="D80">
        <v>27</v>
      </c>
      <c r="E80" s="1">
        <v>44236</v>
      </c>
      <c r="F80" s="6">
        <v>91650</v>
      </c>
      <c r="G80" t="s">
        <v>13</v>
      </c>
    </row>
    <row r="81" spans="1:7" x14ac:dyDescent="0.3">
      <c r="A81" t="s">
        <v>99</v>
      </c>
      <c r="B81" t="s">
        <v>15</v>
      </c>
      <c r="C81" t="s">
        <v>19</v>
      </c>
      <c r="D81">
        <v>43</v>
      </c>
      <c r="E81" s="1">
        <v>44620</v>
      </c>
      <c r="F81" s="6">
        <v>36040</v>
      </c>
      <c r="G81" t="s">
        <v>16</v>
      </c>
    </row>
    <row r="82" spans="1:7" x14ac:dyDescent="0.3">
      <c r="A82" t="s">
        <v>101</v>
      </c>
      <c r="B82" t="s">
        <v>8</v>
      </c>
      <c r="C82" t="s">
        <v>12</v>
      </c>
      <c r="D82">
        <v>40</v>
      </c>
      <c r="E82" s="1">
        <v>44381</v>
      </c>
      <c r="F82" s="6">
        <v>104410</v>
      </c>
      <c r="G82" t="s">
        <v>16</v>
      </c>
    </row>
    <row r="83" spans="1:7" x14ac:dyDescent="0.3">
      <c r="A83" t="s">
        <v>85</v>
      </c>
      <c r="B83" t="s">
        <v>15</v>
      </c>
      <c r="C83" t="s">
        <v>21</v>
      </c>
      <c r="D83">
        <v>30</v>
      </c>
      <c r="E83" s="1">
        <v>44606</v>
      </c>
      <c r="F83" s="6">
        <v>96800</v>
      </c>
      <c r="G83" t="s">
        <v>16</v>
      </c>
    </row>
    <row r="84" spans="1:7" x14ac:dyDescent="0.3">
      <c r="A84" t="s">
        <v>28</v>
      </c>
      <c r="B84" t="s">
        <v>8</v>
      </c>
      <c r="C84" t="s">
        <v>21</v>
      </c>
      <c r="D84">
        <v>34</v>
      </c>
      <c r="E84" s="1">
        <v>44459</v>
      </c>
      <c r="F84" s="6">
        <v>85000</v>
      </c>
      <c r="G84" t="s">
        <v>16</v>
      </c>
    </row>
    <row r="85" spans="1:7" x14ac:dyDescent="0.3">
      <c r="A85" t="s">
        <v>80</v>
      </c>
      <c r="B85" t="s">
        <v>15</v>
      </c>
      <c r="C85" t="s">
        <v>19</v>
      </c>
      <c r="D85">
        <v>28</v>
      </c>
      <c r="E85" s="1">
        <v>44820</v>
      </c>
      <c r="F85" s="6">
        <v>43510</v>
      </c>
      <c r="G85" t="s">
        <v>42</v>
      </c>
    </row>
    <row r="86" spans="1:7" x14ac:dyDescent="0.3">
      <c r="A86" t="s">
        <v>79</v>
      </c>
      <c r="B86" t="s">
        <v>15</v>
      </c>
      <c r="C86" t="s">
        <v>21</v>
      </c>
      <c r="D86">
        <v>33</v>
      </c>
      <c r="E86" s="1">
        <v>44243</v>
      </c>
      <c r="F86" s="6">
        <v>59430</v>
      </c>
      <c r="G86" t="s">
        <v>16</v>
      </c>
    </row>
    <row r="87" spans="1:7" x14ac:dyDescent="0.3">
      <c r="A87" t="s">
        <v>93</v>
      </c>
      <c r="B87" t="s">
        <v>8</v>
      </c>
      <c r="C87" t="s">
        <v>21</v>
      </c>
      <c r="D87">
        <v>33</v>
      </c>
      <c r="E87" s="1">
        <v>44067</v>
      </c>
      <c r="F87" s="6">
        <v>65360</v>
      </c>
      <c r="G87" t="s">
        <v>16</v>
      </c>
    </row>
    <row r="88" spans="1:7" x14ac:dyDescent="0.3">
      <c r="A88" t="s">
        <v>66</v>
      </c>
      <c r="B88" t="s">
        <v>8</v>
      </c>
      <c r="C88" t="s">
        <v>9</v>
      </c>
      <c r="D88">
        <v>32</v>
      </c>
      <c r="E88" s="1">
        <v>44611</v>
      </c>
      <c r="F88" s="6">
        <v>41570</v>
      </c>
      <c r="G88" t="s">
        <v>16</v>
      </c>
    </row>
    <row r="89" spans="1:7" x14ac:dyDescent="0.3">
      <c r="A89" t="s">
        <v>95</v>
      </c>
      <c r="B89" t="s">
        <v>8</v>
      </c>
      <c r="C89" t="s">
        <v>12</v>
      </c>
      <c r="D89">
        <v>33</v>
      </c>
      <c r="E89" s="1">
        <v>44312</v>
      </c>
      <c r="F89" s="6">
        <v>75280</v>
      </c>
      <c r="G89" t="s">
        <v>16</v>
      </c>
    </row>
    <row r="90" spans="1:7" x14ac:dyDescent="0.3">
      <c r="A90" t="s">
        <v>18</v>
      </c>
      <c r="B90" t="s">
        <v>15</v>
      </c>
      <c r="C90" t="s">
        <v>19</v>
      </c>
      <c r="D90">
        <v>33</v>
      </c>
      <c r="E90" s="1">
        <v>44385</v>
      </c>
      <c r="F90" s="6">
        <v>74550</v>
      </c>
      <c r="G90" t="s">
        <v>16</v>
      </c>
    </row>
    <row r="91" spans="1:7" x14ac:dyDescent="0.3">
      <c r="A91" t="s">
        <v>45</v>
      </c>
      <c r="B91" t="s">
        <v>15</v>
      </c>
      <c r="C91" t="s">
        <v>9</v>
      </c>
      <c r="D91">
        <v>30</v>
      </c>
      <c r="E91" s="1">
        <v>44701</v>
      </c>
      <c r="F91" s="6">
        <v>67950</v>
      </c>
      <c r="G91" t="s">
        <v>16</v>
      </c>
    </row>
    <row r="92" spans="1:7" x14ac:dyDescent="0.3">
      <c r="A92" t="s">
        <v>90</v>
      </c>
      <c r="B92" t="s">
        <v>15</v>
      </c>
      <c r="C92" t="s">
        <v>21</v>
      </c>
      <c r="D92">
        <v>42</v>
      </c>
      <c r="E92" s="1">
        <v>44731</v>
      </c>
      <c r="F92" s="6">
        <v>70270</v>
      </c>
      <c r="G92" t="s">
        <v>24</v>
      </c>
    </row>
    <row r="93" spans="1:7" x14ac:dyDescent="0.3">
      <c r="A93" t="s">
        <v>46</v>
      </c>
      <c r="B93" t="s">
        <v>15</v>
      </c>
      <c r="C93" t="s">
        <v>9</v>
      </c>
      <c r="D93">
        <v>26</v>
      </c>
      <c r="E93" s="1">
        <v>44411</v>
      </c>
      <c r="F93" s="6">
        <v>53540</v>
      </c>
      <c r="G93" t="s">
        <v>16</v>
      </c>
    </row>
    <row r="94" spans="1:7" x14ac:dyDescent="0.3">
      <c r="A94" t="s">
        <v>58</v>
      </c>
      <c r="B94" t="s">
        <v>15</v>
      </c>
      <c r="C94" t="s">
        <v>19</v>
      </c>
      <c r="D94">
        <v>22</v>
      </c>
      <c r="E94">
        <v>44446</v>
      </c>
      <c r="F94" s="6">
        <v>112780</v>
      </c>
      <c r="G94" t="s">
        <v>13</v>
      </c>
    </row>
    <row r="95" spans="1:7" x14ac:dyDescent="0.3">
      <c r="A95" t="s">
        <v>70</v>
      </c>
      <c r="B95" t="s">
        <v>15</v>
      </c>
      <c r="C95" t="s">
        <v>9</v>
      </c>
      <c r="D95">
        <v>46</v>
      </c>
      <c r="E95">
        <v>44758</v>
      </c>
      <c r="F95" s="6">
        <v>70610</v>
      </c>
      <c r="G95" t="s">
        <v>16</v>
      </c>
    </row>
    <row r="96" spans="1:7" x14ac:dyDescent="0.3">
      <c r="A96" t="s">
        <v>75</v>
      </c>
      <c r="B96" t="s">
        <v>8</v>
      </c>
      <c r="C96" t="s">
        <v>19</v>
      </c>
      <c r="D96">
        <v>28</v>
      </c>
      <c r="E96">
        <v>44357</v>
      </c>
      <c r="F96" s="6">
        <v>53240</v>
      </c>
      <c r="G96" t="s">
        <v>16</v>
      </c>
    </row>
    <row r="97" spans="1:7" x14ac:dyDescent="0.3">
      <c r="A97" t="s">
        <v>49</v>
      </c>
      <c r="B97" t="s">
        <v>231</v>
      </c>
      <c r="C97" t="s">
        <v>21</v>
      </c>
      <c r="D97">
        <v>37</v>
      </c>
      <c r="E97">
        <v>44146</v>
      </c>
      <c r="F97" s="6">
        <v>115440</v>
      </c>
      <c r="G97" t="s">
        <v>24</v>
      </c>
    </row>
    <row r="98" spans="1:7" x14ac:dyDescent="0.3">
      <c r="A98" t="s">
        <v>65</v>
      </c>
      <c r="B98" t="s">
        <v>15</v>
      </c>
      <c r="C98" t="s">
        <v>19</v>
      </c>
      <c r="D98">
        <v>32</v>
      </c>
      <c r="E98">
        <v>44465</v>
      </c>
      <c r="F98" s="6">
        <v>53540</v>
      </c>
      <c r="G98" t="s">
        <v>16</v>
      </c>
    </row>
    <row r="99" spans="1:7" x14ac:dyDescent="0.3">
      <c r="A99" t="s">
        <v>81</v>
      </c>
      <c r="B99" t="s">
        <v>8</v>
      </c>
      <c r="C99" t="s">
        <v>9</v>
      </c>
      <c r="D99">
        <v>30</v>
      </c>
      <c r="E99">
        <v>44861</v>
      </c>
      <c r="F99" s="6">
        <v>112570</v>
      </c>
      <c r="G99" t="s">
        <v>16</v>
      </c>
    </row>
    <row r="100" spans="1:7" x14ac:dyDescent="0.3">
      <c r="A100" t="s">
        <v>51</v>
      </c>
      <c r="B100" t="s">
        <v>15</v>
      </c>
      <c r="C100" t="s">
        <v>9</v>
      </c>
      <c r="D100">
        <v>33</v>
      </c>
      <c r="E100">
        <v>44701</v>
      </c>
      <c r="F100" s="6">
        <v>48530</v>
      </c>
      <c r="G100" t="s">
        <v>13</v>
      </c>
    </row>
    <row r="101" spans="1:7" x14ac:dyDescent="0.3">
      <c r="A101" t="s">
        <v>61</v>
      </c>
      <c r="B101" t="s">
        <v>8</v>
      </c>
      <c r="C101" t="s">
        <v>12</v>
      </c>
      <c r="D101">
        <v>24</v>
      </c>
      <c r="E101">
        <v>44148</v>
      </c>
      <c r="F101" s="6">
        <v>62780</v>
      </c>
      <c r="G101" t="s">
        <v>16</v>
      </c>
    </row>
  </sheetData>
  <autoFilter ref="A1:G101" xr:uid="{E7A18F35-C8A1-4F9D-89FB-4574F07257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B5B4-10E4-4BB3-9A6C-EDF7A35BC53E}">
  <dimension ref="A1:R33"/>
  <sheetViews>
    <sheetView zoomScale="72" workbookViewId="0">
      <selection activeCell="V6" sqref="V6"/>
    </sheetView>
  </sheetViews>
  <sheetFormatPr defaultRowHeight="14.4" x14ac:dyDescent="0.3"/>
  <cols>
    <col min="1" max="1" width="3.5546875" customWidth="1"/>
    <col min="17" max="17" width="14.33203125" customWidth="1"/>
    <col min="18" max="18" width="3.88671875" customWidth="1"/>
  </cols>
  <sheetData>
    <row r="1" spans="1:18" ht="56.4" customHeight="1" x14ac:dyDescent="0.3">
      <c r="A1" s="18"/>
      <c r="B1" s="42" t="s">
        <v>236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19"/>
    </row>
    <row r="2" spans="1:18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1:18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</row>
    <row r="4" spans="1:18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</row>
    <row r="5" spans="1:18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</row>
    <row r="6" spans="1:18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/>
    </row>
    <row r="7" spans="1:18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3">
      <c r="A12" s="18"/>
      <c r="B12" s="18"/>
      <c r="C12" s="18"/>
      <c r="D12" s="18"/>
      <c r="E12" s="18"/>
      <c r="F12" s="18"/>
      <c r="G12" s="18" t="s">
        <v>237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</sheetData>
  <mergeCells count="1">
    <mergeCell ref="B1:Q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9C29-F02A-40A1-94C2-DBAB9FD96938}">
  <dimension ref="A1:Q38"/>
  <sheetViews>
    <sheetView zoomScale="66" zoomScaleNormal="100" workbookViewId="0">
      <selection activeCell="P21" sqref="P21"/>
    </sheetView>
  </sheetViews>
  <sheetFormatPr defaultRowHeight="14.4" x14ac:dyDescent="0.3"/>
  <cols>
    <col min="6" max="6" width="22.88671875" customWidth="1"/>
    <col min="7" max="7" width="17.44140625" customWidth="1"/>
    <col min="10" max="10" width="13.5546875" customWidth="1"/>
    <col min="13" max="13" width="8.88671875" customWidth="1"/>
  </cols>
  <sheetData>
    <row r="1" spans="1:17" ht="49.8" customHeight="1" x14ac:dyDescent="0.7">
      <c r="A1" s="41" t="s">
        <v>270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38"/>
      <c r="O1" s="38"/>
      <c r="P1" s="38"/>
      <c r="Q1" s="38"/>
    </row>
    <row r="2" spans="1:17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7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7" ht="12" customHeight="1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7" ht="23.4" x14ac:dyDescent="0.45">
      <c r="A5" s="40"/>
      <c r="B5" s="40"/>
      <c r="C5" s="40"/>
      <c r="D5" s="40"/>
      <c r="E5" s="40"/>
      <c r="F5" s="40"/>
      <c r="G5" s="39" t="s">
        <v>19</v>
      </c>
      <c r="H5" s="40"/>
      <c r="I5" s="40"/>
      <c r="J5" s="40"/>
      <c r="K5" s="40"/>
      <c r="L5" s="40"/>
      <c r="M5" s="40"/>
    </row>
    <row r="6" spans="1:17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</row>
    <row r="7" spans="1:17" x14ac:dyDescent="0.3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7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</row>
    <row r="9" spans="1:17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</row>
    <row r="10" spans="1:17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spans="1:17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7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spans="1:17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</row>
    <row r="14" spans="1:17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7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1:17" x14ac:dyDescent="0.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spans="1:13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</row>
    <row r="18" spans="1:13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spans="1:13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3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</row>
    <row r="21" spans="1:13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spans="1:13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spans="1:13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spans="1:13" x14ac:dyDescent="0.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</row>
    <row r="25" spans="1:13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spans="1:13" x14ac:dyDescent="0.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</row>
    <row r="27" spans="1:13" x14ac:dyDescent="0.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</row>
    <row r="28" spans="1:13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</row>
    <row r="29" spans="1:13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</row>
    <row r="30" spans="1:13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</row>
    <row r="31" spans="1:13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</row>
    <row r="32" spans="1:13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</row>
    <row r="33" spans="1:13" x14ac:dyDescent="0.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spans="1:13" x14ac:dyDescent="0.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spans="1:13" x14ac:dyDescent="0.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spans="1:13" x14ac:dyDescent="0.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 x14ac:dyDescent="0.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</row>
  </sheetData>
  <mergeCells count="1">
    <mergeCell ref="A1:M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Department" xr:uid="{21F36D91-E0DF-4901-B72D-1EE41C2A8957}">
          <x14:formula1>
            <xm:f>Departments!$H$20:$H$24</xm:f>
          </x14:formula1>
          <xm:sqref>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2B71-7A80-4D33-A211-133427213939}">
  <dimension ref="B1:L101"/>
  <sheetViews>
    <sheetView topLeftCell="D1" workbookViewId="0">
      <selection activeCell="P20" sqref="P20"/>
    </sheetView>
  </sheetViews>
  <sheetFormatPr defaultRowHeight="14.4" x14ac:dyDescent="0.3"/>
  <cols>
    <col min="2" max="4" width="16.33203125" customWidth="1"/>
    <col min="5" max="5" width="16.33203125" style="16" customWidth="1"/>
    <col min="6" max="6" width="16.33203125" style="8" customWidth="1"/>
    <col min="7" max="8" width="16.33203125" customWidth="1"/>
  </cols>
  <sheetData>
    <row r="1" spans="2:12" x14ac:dyDescent="0.3">
      <c r="B1" s="3" t="s">
        <v>0</v>
      </c>
      <c r="C1" s="3" t="s">
        <v>1</v>
      </c>
      <c r="D1" s="3" t="s">
        <v>2</v>
      </c>
      <c r="E1" s="15" t="s">
        <v>3</v>
      </c>
      <c r="F1" s="7" t="s">
        <v>4</v>
      </c>
      <c r="G1" s="5" t="s">
        <v>5</v>
      </c>
      <c r="H1" s="3" t="s">
        <v>6</v>
      </c>
      <c r="I1" s="3" t="s">
        <v>235</v>
      </c>
    </row>
    <row r="2" spans="2:12" x14ac:dyDescent="0.3">
      <c r="B2" t="s">
        <v>58</v>
      </c>
      <c r="C2" t="s">
        <v>15</v>
      </c>
      <c r="D2" t="s">
        <v>19</v>
      </c>
      <c r="E2" s="16">
        <v>22</v>
      </c>
      <c r="F2" s="8">
        <v>44446</v>
      </c>
      <c r="G2" s="6">
        <v>112780</v>
      </c>
      <c r="H2" t="s">
        <v>13</v>
      </c>
      <c r="I2" t="str">
        <f t="shared" ref="I2:I33" si="0">TEXT(F2,"mmm yyyy")</f>
        <v>Sep 2021</v>
      </c>
    </row>
    <row r="3" spans="2:12" x14ac:dyDescent="0.3">
      <c r="B3" t="s">
        <v>70</v>
      </c>
      <c r="C3" t="s">
        <v>15</v>
      </c>
      <c r="D3" t="s">
        <v>9</v>
      </c>
      <c r="E3" s="16">
        <v>46</v>
      </c>
      <c r="F3" s="8">
        <v>44758</v>
      </c>
      <c r="G3" s="6">
        <v>70610</v>
      </c>
      <c r="H3" t="s">
        <v>16</v>
      </c>
      <c r="I3" t="str">
        <f t="shared" si="0"/>
        <v>Jul 2022</v>
      </c>
      <c r="K3" t="s">
        <v>202</v>
      </c>
    </row>
    <row r="4" spans="2:12" x14ac:dyDescent="0.3">
      <c r="B4" t="s">
        <v>75</v>
      </c>
      <c r="C4" t="s">
        <v>8</v>
      </c>
      <c r="D4" t="s">
        <v>19</v>
      </c>
      <c r="E4" s="16">
        <v>28</v>
      </c>
      <c r="F4" s="8">
        <v>44357</v>
      </c>
      <c r="G4" s="6">
        <v>53240</v>
      </c>
      <c r="H4" t="s">
        <v>16</v>
      </c>
      <c r="I4" t="str">
        <f t="shared" si="0"/>
        <v>Jun 2021</v>
      </c>
      <c r="K4" t="s">
        <v>203</v>
      </c>
    </row>
    <row r="5" spans="2:12" x14ac:dyDescent="0.3">
      <c r="B5" t="s">
        <v>49</v>
      </c>
      <c r="C5" t="s">
        <v>231</v>
      </c>
      <c r="D5" t="s">
        <v>21</v>
      </c>
      <c r="E5" s="16">
        <v>37</v>
      </c>
      <c r="F5" s="8">
        <v>44146</v>
      </c>
      <c r="G5" s="6">
        <v>115440</v>
      </c>
      <c r="H5" t="s">
        <v>24</v>
      </c>
      <c r="I5" t="str">
        <f t="shared" si="0"/>
        <v>Nov 2020</v>
      </c>
      <c r="L5" t="s">
        <v>213</v>
      </c>
    </row>
    <row r="6" spans="2:12" x14ac:dyDescent="0.3">
      <c r="B6" t="s">
        <v>65</v>
      </c>
      <c r="C6" t="s">
        <v>15</v>
      </c>
      <c r="D6" t="s">
        <v>19</v>
      </c>
      <c r="E6" s="16">
        <v>32</v>
      </c>
      <c r="F6" s="8">
        <v>44465</v>
      </c>
      <c r="G6" s="6">
        <v>53540</v>
      </c>
      <c r="H6" t="s">
        <v>16</v>
      </c>
      <c r="I6" t="str">
        <f t="shared" si="0"/>
        <v>Sep 2021</v>
      </c>
      <c r="L6" t="s">
        <v>204</v>
      </c>
    </row>
    <row r="7" spans="2:12" x14ac:dyDescent="0.3">
      <c r="B7" t="s">
        <v>81</v>
      </c>
      <c r="C7" t="s">
        <v>8</v>
      </c>
      <c r="D7" t="s">
        <v>9</v>
      </c>
      <c r="E7" s="16">
        <v>30</v>
      </c>
      <c r="F7" s="8">
        <v>44861</v>
      </c>
      <c r="G7" s="6">
        <v>112570</v>
      </c>
      <c r="H7" t="s">
        <v>16</v>
      </c>
      <c r="I7" t="str">
        <f t="shared" si="0"/>
        <v>Oct 2022</v>
      </c>
      <c r="L7" t="s">
        <v>205</v>
      </c>
    </row>
    <row r="8" spans="2:12" x14ac:dyDescent="0.3">
      <c r="B8" t="s">
        <v>51</v>
      </c>
      <c r="C8" t="s">
        <v>15</v>
      </c>
      <c r="D8" t="s">
        <v>9</v>
      </c>
      <c r="E8" s="16">
        <v>33</v>
      </c>
      <c r="F8" s="8">
        <v>44701</v>
      </c>
      <c r="G8" s="6">
        <v>48530</v>
      </c>
      <c r="H8" t="s">
        <v>13</v>
      </c>
      <c r="I8" t="str">
        <f t="shared" si="0"/>
        <v>May 2022</v>
      </c>
      <c r="L8" t="s">
        <v>206</v>
      </c>
    </row>
    <row r="9" spans="2:12" x14ac:dyDescent="0.3">
      <c r="B9" t="s">
        <v>61</v>
      </c>
      <c r="C9" t="s">
        <v>8</v>
      </c>
      <c r="D9" t="s">
        <v>12</v>
      </c>
      <c r="E9" s="16">
        <v>24</v>
      </c>
      <c r="F9" s="8">
        <v>44148</v>
      </c>
      <c r="G9" s="6">
        <v>62780</v>
      </c>
      <c r="H9" t="s">
        <v>16</v>
      </c>
      <c r="I9" t="str">
        <f t="shared" si="0"/>
        <v>Nov 2020</v>
      </c>
      <c r="L9" t="s">
        <v>207</v>
      </c>
    </row>
    <row r="10" spans="2:12" x14ac:dyDescent="0.3">
      <c r="B10" t="s">
        <v>82</v>
      </c>
      <c r="C10" t="s">
        <v>15</v>
      </c>
      <c r="D10" t="s">
        <v>12</v>
      </c>
      <c r="E10" s="16">
        <v>33</v>
      </c>
      <c r="F10" s="8">
        <v>44509</v>
      </c>
      <c r="G10" s="6">
        <v>53870</v>
      </c>
      <c r="H10" t="s">
        <v>16</v>
      </c>
      <c r="I10" t="str">
        <f t="shared" si="0"/>
        <v>Nov 2021</v>
      </c>
      <c r="L10" t="s">
        <v>216</v>
      </c>
    </row>
    <row r="11" spans="2:12" x14ac:dyDescent="0.3">
      <c r="B11" t="s">
        <v>60</v>
      </c>
      <c r="C11" t="s">
        <v>8</v>
      </c>
      <c r="D11" t="s">
        <v>56</v>
      </c>
      <c r="E11" s="16">
        <v>27</v>
      </c>
      <c r="F11" s="8">
        <v>44122</v>
      </c>
      <c r="G11" s="6">
        <v>119110</v>
      </c>
      <c r="H11" t="s">
        <v>16</v>
      </c>
      <c r="I11" t="str">
        <f t="shared" si="0"/>
        <v>Oct 2020</v>
      </c>
      <c r="L11" t="s">
        <v>215</v>
      </c>
    </row>
    <row r="12" spans="2:12" x14ac:dyDescent="0.3">
      <c r="B12" t="s">
        <v>87</v>
      </c>
      <c r="C12" t="s">
        <v>15</v>
      </c>
      <c r="D12" t="s">
        <v>12</v>
      </c>
      <c r="E12" s="16">
        <v>29</v>
      </c>
      <c r="F12" s="8">
        <v>44180</v>
      </c>
      <c r="G12" s="6">
        <v>112110</v>
      </c>
      <c r="H12" t="s">
        <v>24</v>
      </c>
      <c r="I12" t="str">
        <f t="shared" si="0"/>
        <v>Dec 2020</v>
      </c>
    </row>
    <row r="13" spans="2:12" x14ac:dyDescent="0.3">
      <c r="B13" t="s">
        <v>76</v>
      </c>
      <c r="C13" t="s">
        <v>15</v>
      </c>
      <c r="D13" t="s">
        <v>19</v>
      </c>
      <c r="E13" s="16">
        <v>25</v>
      </c>
      <c r="F13" s="8">
        <v>44383</v>
      </c>
      <c r="G13" s="6">
        <v>65700</v>
      </c>
      <c r="H13" t="s">
        <v>16</v>
      </c>
      <c r="I13" t="str">
        <f t="shared" si="0"/>
        <v>Jul 2021</v>
      </c>
    </row>
    <row r="14" spans="2:12" x14ac:dyDescent="0.3">
      <c r="B14" t="s">
        <v>97</v>
      </c>
      <c r="C14" t="s">
        <v>15</v>
      </c>
      <c r="D14" t="s">
        <v>12</v>
      </c>
      <c r="E14" s="16">
        <v>37</v>
      </c>
      <c r="F14" s="8">
        <v>44701</v>
      </c>
      <c r="G14" s="6">
        <v>69070</v>
      </c>
      <c r="H14" t="s">
        <v>16</v>
      </c>
      <c r="I14" t="str">
        <f t="shared" si="0"/>
        <v>May 2022</v>
      </c>
    </row>
    <row r="15" spans="2:12" x14ac:dyDescent="0.3">
      <c r="B15" t="s">
        <v>22</v>
      </c>
      <c r="C15" t="s">
        <v>15</v>
      </c>
      <c r="D15" t="s">
        <v>12</v>
      </c>
      <c r="E15" s="16">
        <v>20</v>
      </c>
      <c r="F15" s="8">
        <v>44459</v>
      </c>
      <c r="G15" s="6">
        <v>107700</v>
      </c>
      <c r="H15" t="s">
        <v>16</v>
      </c>
      <c r="I15" t="str">
        <f t="shared" si="0"/>
        <v>Sep 2021</v>
      </c>
    </row>
    <row r="16" spans="2:12" x14ac:dyDescent="0.3">
      <c r="B16" t="s">
        <v>84</v>
      </c>
      <c r="C16" t="s">
        <v>8</v>
      </c>
      <c r="D16" t="s">
        <v>12</v>
      </c>
      <c r="E16" s="16">
        <v>32</v>
      </c>
      <c r="F16" s="8">
        <v>44354</v>
      </c>
      <c r="G16" s="6">
        <v>43840</v>
      </c>
      <c r="H16" t="s">
        <v>13</v>
      </c>
      <c r="I16" t="str">
        <f t="shared" si="0"/>
        <v>Jun 2021</v>
      </c>
    </row>
    <row r="17" spans="2:12" x14ac:dyDescent="0.3">
      <c r="B17" t="s">
        <v>105</v>
      </c>
      <c r="C17" t="s">
        <v>15</v>
      </c>
      <c r="D17" t="s">
        <v>9</v>
      </c>
      <c r="E17" s="16">
        <v>40</v>
      </c>
      <c r="F17" s="8">
        <v>44263</v>
      </c>
      <c r="G17" s="6">
        <v>99750</v>
      </c>
      <c r="H17" t="s">
        <v>16</v>
      </c>
      <c r="I17" t="str">
        <f t="shared" si="0"/>
        <v>Mar 2021</v>
      </c>
      <c r="K17" t="s">
        <v>208</v>
      </c>
    </row>
    <row r="18" spans="2:12" x14ac:dyDescent="0.3">
      <c r="B18" t="s">
        <v>47</v>
      </c>
      <c r="C18" t="s">
        <v>15</v>
      </c>
      <c r="D18" t="s">
        <v>9</v>
      </c>
      <c r="E18" s="16">
        <v>21</v>
      </c>
      <c r="F18" s="8">
        <v>44104</v>
      </c>
      <c r="G18" s="6">
        <v>37920</v>
      </c>
      <c r="H18" t="s">
        <v>16</v>
      </c>
      <c r="I18" t="str">
        <f t="shared" si="0"/>
        <v>Sep 2020</v>
      </c>
      <c r="L18" t="s">
        <v>255</v>
      </c>
    </row>
    <row r="19" spans="2:12" x14ac:dyDescent="0.3">
      <c r="B19" t="s">
        <v>31</v>
      </c>
      <c r="C19" t="s">
        <v>15</v>
      </c>
      <c r="D19" t="s">
        <v>9</v>
      </c>
      <c r="E19" s="16">
        <v>21</v>
      </c>
      <c r="F19" s="8">
        <v>44762</v>
      </c>
      <c r="G19" s="6">
        <v>57090</v>
      </c>
      <c r="H19" t="s">
        <v>16</v>
      </c>
      <c r="I19" t="str">
        <f t="shared" si="0"/>
        <v>Jul 2022</v>
      </c>
      <c r="L19" t="s">
        <v>256</v>
      </c>
    </row>
    <row r="20" spans="2:12" x14ac:dyDescent="0.3">
      <c r="B20" t="s">
        <v>30</v>
      </c>
      <c r="C20" t="s">
        <v>8</v>
      </c>
      <c r="D20" t="s">
        <v>12</v>
      </c>
      <c r="E20" s="16">
        <v>31</v>
      </c>
      <c r="F20" s="8">
        <v>44145</v>
      </c>
      <c r="G20" s="6">
        <v>41980</v>
      </c>
      <c r="H20" t="s">
        <v>16</v>
      </c>
      <c r="I20" t="str">
        <f t="shared" si="0"/>
        <v>Nov 2020</v>
      </c>
      <c r="L20" t="s">
        <v>257</v>
      </c>
    </row>
    <row r="21" spans="2:12" x14ac:dyDescent="0.3">
      <c r="B21" t="s">
        <v>78</v>
      </c>
      <c r="C21" t="s">
        <v>15</v>
      </c>
      <c r="D21" t="s">
        <v>56</v>
      </c>
      <c r="E21" s="16">
        <v>21</v>
      </c>
      <c r="F21" s="8">
        <v>44242</v>
      </c>
      <c r="G21" s="6">
        <v>75880</v>
      </c>
      <c r="H21" t="s">
        <v>16</v>
      </c>
      <c r="I21" t="str">
        <f t="shared" si="0"/>
        <v>Feb 2021</v>
      </c>
      <c r="L21" t="s">
        <v>210</v>
      </c>
    </row>
    <row r="22" spans="2:12" x14ac:dyDescent="0.3">
      <c r="B22" t="s">
        <v>36</v>
      </c>
      <c r="C22" t="s">
        <v>8</v>
      </c>
      <c r="D22" t="s">
        <v>21</v>
      </c>
      <c r="E22" s="16">
        <v>34</v>
      </c>
      <c r="F22" s="8">
        <v>44653</v>
      </c>
      <c r="G22" s="6">
        <v>58940</v>
      </c>
      <c r="H22" t="s">
        <v>16</v>
      </c>
      <c r="I22" t="str">
        <f t="shared" si="0"/>
        <v>Apr 2022</v>
      </c>
      <c r="L22" t="s">
        <v>254</v>
      </c>
    </row>
    <row r="23" spans="2:12" x14ac:dyDescent="0.3">
      <c r="B23" t="s">
        <v>27</v>
      </c>
      <c r="C23" t="s">
        <v>8</v>
      </c>
      <c r="D23" t="s">
        <v>21</v>
      </c>
      <c r="E23" s="16">
        <v>30</v>
      </c>
      <c r="F23" s="8">
        <v>44389</v>
      </c>
      <c r="G23" s="6">
        <v>67910</v>
      </c>
      <c r="H23" t="s">
        <v>24</v>
      </c>
      <c r="I23" t="str">
        <f t="shared" si="0"/>
        <v>Jul 2021</v>
      </c>
    </row>
    <row r="24" spans="2:12" x14ac:dyDescent="0.3">
      <c r="B24" t="s">
        <v>26</v>
      </c>
      <c r="C24" t="s">
        <v>8</v>
      </c>
      <c r="D24" t="s">
        <v>12</v>
      </c>
      <c r="E24" s="16">
        <v>31</v>
      </c>
      <c r="F24" s="8">
        <v>44663</v>
      </c>
      <c r="G24" s="6">
        <v>58100</v>
      </c>
      <c r="H24" t="s">
        <v>16</v>
      </c>
      <c r="I24" t="str">
        <f t="shared" si="0"/>
        <v>Apr 2022</v>
      </c>
    </row>
    <row r="25" spans="2:12" x14ac:dyDescent="0.3">
      <c r="B25" t="s">
        <v>53</v>
      </c>
      <c r="C25" t="s">
        <v>15</v>
      </c>
      <c r="D25" t="s">
        <v>21</v>
      </c>
      <c r="E25" s="16">
        <v>27</v>
      </c>
      <c r="F25" s="8">
        <v>44567</v>
      </c>
      <c r="G25" s="6">
        <v>48980</v>
      </c>
      <c r="H25" t="s">
        <v>16</v>
      </c>
      <c r="I25" t="str">
        <f t="shared" si="0"/>
        <v>Jan 2022</v>
      </c>
    </row>
    <row r="26" spans="2:12" x14ac:dyDescent="0.3">
      <c r="B26" t="s">
        <v>20</v>
      </c>
      <c r="C26" t="s">
        <v>231</v>
      </c>
      <c r="D26" t="s">
        <v>21</v>
      </c>
      <c r="E26" s="16">
        <v>30</v>
      </c>
      <c r="F26" s="8">
        <v>44597</v>
      </c>
      <c r="G26" s="6">
        <v>64000</v>
      </c>
      <c r="H26" t="s">
        <v>16</v>
      </c>
      <c r="I26" t="str">
        <f t="shared" si="0"/>
        <v>Feb 2022</v>
      </c>
    </row>
    <row r="27" spans="2:12" x14ac:dyDescent="0.3">
      <c r="B27" t="s">
        <v>7</v>
      </c>
      <c r="C27" t="s">
        <v>8</v>
      </c>
      <c r="D27" t="s">
        <v>9</v>
      </c>
      <c r="E27" s="16">
        <v>42</v>
      </c>
      <c r="F27" s="8">
        <v>44779</v>
      </c>
      <c r="G27" s="6">
        <v>75000</v>
      </c>
      <c r="H27" t="s">
        <v>10</v>
      </c>
      <c r="I27" t="str">
        <f t="shared" si="0"/>
        <v>Aug 2022</v>
      </c>
    </row>
    <row r="28" spans="2:12" x14ac:dyDescent="0.3">
      <c r="B28" t="s">
        <v>74</v>
      </c>
      <c r="C28" t="s">
        <v>8</v>
      </c>
      <c r="D28" t="s">
        <v>12</v>
      </c>
      <c r="E28" s="16">
        <v>40</v>
      </c>
      <c r="F28" s="8">
        <v>44337</v>
      </c>
      <c r="G28" s="6">
        <v>87620</v>
      </c>
      <c r="H28" t="s">
        <v>16</v>
      </c>
      <c r="I28" t="str">
        <f t="shared" si="0"/>
        <v>May 2021</v>
      </c>
    </row>
    <row r="29" spans="2:12" x14ac:dyDescent="0.3">
      <c r="B29" t="s">
        <v>44</v>
      </c>
      <c r="C29" t="s">
        <v>8</v>
      </c>
      <c r="D29" t="s">
        <v>12</v>
      </c>
      <c r="E29" s="16">
        <v>29</v>
      </c>
      <c r="F29" s="8">
        <v>44023</v>
      </c>
      <c r="G29" s="6">
        <v>34980</v>
      </c>
      <c r="H29" t="s">
        <v>16</v>
      </c>
      <c r="I29" t="str">
        <f t="shared" si="0"/>
        <v>Jul 2020</v>
      </c>
    </row>
    <row r="30" spans="2:12" x14ac:dyDescent="0.3">
      <c r="B30" t="s">
        <v>35</v>
      </c>
      <c r="C30" t="s">
        <v>8</v>
      </c>
      <c r="D30" t="s">
        <v>21</v>
      </c>
      <c r="E30" s="16">
        <v>28</v>
      </c>
      <c r="F30" s="8">
        <v>44185</v>
      </c>
      <c r="G30" s="6">
        <v>75970</v>
      </c>
      <c r="H30" t="s">
        <v>16</v>
      </c>
      <c r="I30" t="str">
        <f t="shared" si="0"/>
        <v>Dec 2020</v>
      </c>
    </row>
    <row r="31" spans="2:12" x14ac:dyDescent="0.3">
      <c r="B31" t="s">
        <v>38</v>
      </c>
      <c r="C31" t="s">
        <v>8</v>
      </c>
      <c r="D31" t="s">
        <v>21</v>
      </c>
      <c r="E31" s="16">
        <v>34</v>
      </c>
      <c r="F31" s="8">
        <v>44612</v>
      </c>
      <c r="G31" s="6">
        <v>60130</v>
      </c>
      <c r="H31" t="s">
        <v>16</v>
      </c>
      <c r="I31" t="str">
        <f t="shared" si="0"/>
        <v>Feb 2022</v>
      </c>
    </row>
    <row r="32" spans="2:12" x14ac:dyDescent="0.3">
      <c r="B32" t="s">
        <v>41</v>
      </c>
      <c r="C32" t="s">
        <v>8</v>
      </c>
      <c r="D32" t="s">
        <v>12</v>
      </c>
      <c r="E32" s="16">
        <v>33</v>
      </c>
      <c r="F32" s="8">
        <v>44374</v>
      </c>
      <c r="G32" s="6">
        <v>75480</v>
      </c>
      <c r="H32" t="s">
        <v>42</v>
      </c>
      <c r="I32" t="str">
        <f t="shared" si="0"/>
        <v>Jun 2021</v>
      </c>
    </row>
    <row r="33" spans="2:9" x14ac:dyDescent="0.3">
      <c r="B33" t="s">
        <v>40</v>
      </c>
      <c r="C33" t="s">
        <v>15</v>
      </c>
      <c r="D33" t="s">
        <v>9</v>
      </c>
      <c r="E33" s="16">
        <v>33</v>
      </c>
      <c r="F33" s="8">
        <v>44164</v>
      </c>
      <c r="G33" s="6">
        <v>115920</v>
      </c>
      <c r="H33" t="s">
        <v>16</v>
      </c>
      <c r="I33" t="str">
        <f t="shared" si="0"/>
        <v>Nov 2020</v>
      </c>
    </row>
    <row r="34" spans="2:9" x14ac:dyDescent="0.3">
      <c r="B34" t="s">
        <v>48</v>
      </c>
      <c r="C34" t="s">
        <v>8</v>
      </c>
      <c r="D34" t="s">
        <v>19</v>
      </c>
      <c r="E34" s="16">
        <v>36</v>
      </c>
      <c r="F34" s="8">
        <v>44494</v>
      </c>
      <c r="G34" s="6">
        <v>78540</v>
      </c>
      <c r="H34" t="s">
        <v>16</v>
      </c>
      <c r="I34" t="str">
        <f t="shared" ref="I34:I65" si="1">TEXT(F34,"mmm yyyy")</f>
        <v>Oct 2021</v>
      </c>
    </row>
    <row r="35" spans="2:9" x14ac:dyDescent="0.3">
      <c r="B35" t="s">
        <v>34</v>
      </c>
      <c r="C35" t="s">
        <v>15</v>
      </c>
      <c r="D35" t="s">
        <v>9</v>
      </c>
      <c r="E35" s="16">
        <v>25</v>
      </c>
      <c r="F35" s="8">
        <v>44726</v>
      </c>
      <c r="G35" s="6">
        <v>109190</v>
      </c>
      <c r="H35" t="s">
        <v>13</v>
      </c>
      <c r="I35" t="str">
        <f t="shared" si="1"/>
        <v>Jun 2022</v>
      </c>
    </row>
    <row r="36" spans="2:9" x14ac:dyDescent="0.3">
      <c r="B36" t="s">
        <v>73</v>
      </c>
      <c r="C36" t="s">
        <v>8</v>
      </c>
      <c r="D36" t="s">
        <v>19</v>
      </c>
      <c r="E36" s="16">
        <v>34</v>
      </c>
      <c r="F36" s="8">
        <v>44721</v>
      </c>
      <c r="G36" s="6">
        <v>49630</v>
      </c>
      <c r="H36" t="s">
        <v>24</v>
      </c>
      <c r="I36" t="str">
        <f t="shared" si="1"/>
        <v>Jun 2022</v>
      </c>
    </row>
    <row r="37" spans="2:9" x14ac:dyDescent="0.3">
      <c r="B37" t="s">
        <v>107</v>
      </c>
      <c r="C37" t="s">
        <v>8</v>
      </c>
      <c r="D37" t="s">
        <v>9</v>
      </c>
      <c r="E37" s="16">
        <v>28</v>
      </c>
      <c r="F37" s="8">
        <v>44630</v>
      </c>
      <c r="G37" s="6">
        <v>99970</v>
      </c>
      <c r="H37" t="s">
        <v>16</v>
      </c>
      <c r="I37" t="str">
        <f t="shared" si="1"/>
        <v>Mar 2022</v>
      </c>
    </row>
    <row r="38" spans="2:9" x14ac:dyDescent="0.3">
      <c r="B38" t="s">
        <v>71</v>
      </c>
      <c r="C38" t="s">
        <v>8</v>
      </c>
      <c r="D38" t="s">
        <v>12</v>
      </c>
      <c r="E38" s="16">
        <v>33</v>
      </c>
      <c r="F38" s="8">
        <v>44190</v>
      </c>
      <c r="G38" s="6">
        <v>96140</v>
      </c>
      <c r="H38" t="s">
        <v>16</v>
      </c>
      <c r="I38" t="str">
        <f t="shared" si="1"/>
        <v>Dec 2020</v>
      </c>
    </row>
    <row r="39" spans="2:9" x14ac:dyDescent="0.3">
      <c r="B39" t="s">
        <v>50</v>
      </c>
      <c r="C39" t="s">
        <v>15</v>
      </c>
      <c r="D39" t="s">
        <v>9</v>
      </c>
      <c r="E39" s="16">
        <v>31</v>
      </c>
      <c r="F39" s="8">
        <v>44724</v>
      </c>
      <c r="G39" s="6">
        <v>103550</v>
      </c>
      <c r="H39" t="s">
        <v>16</v>
      </c>
      <c r="I39" t="str">
        <f t="shared" si="1"/>
        <v>Jun 2022</v>
      </c>
    </row>
    <row r="40" spans="2:9" x14ac:dyDescent="0.3">
      <c r="B40" t="s">
        <v>14</v>
      </c>
      <c r="C40" t="s">
        <v>15</v>
      </c>
      <c r="D40" t="s">
        <v>12</v>
      </c>
      <c r="E40" s="16">
        <v>31</v>
      </c>
      <c r="F40" s="8">
        <v>44511</v>
      </c>
      <c r="G40" s="6">
        <v>48950</v>
      </c>
      <c r="H40" t="s">
        <v>16</v>
      </c>
      <c r="I40" t="str">
        <f t="shared" si="1"/>
        <v>Nov 2021</v>
      </c>
    </row>
    <row r="41" spans="2:9" x14ac:dyDescent="0.3">
      <c r="B41" t="s">
        <v>63</v>
      </c>
      <c r="C41" t="s">
        <v>15</v>
      </c>
      <c r="D41" t="s">
        <v>21</v>
      </c>
      <c r="E41" s="16">
        <v>24</v>
      </c>
      <c r="F41" s="8">
        <v>44436</v>
      </c>
      <c r="G41" s="6">
        <v>52610</v>
      </c>
      <c r="H41" t="s">
        <v>24</v>
      </c>
      <c r="I41" t="str">
        <f t="shared" si="1"/>
        <v>Aug 2021</v>
      </c>
    </row>
    <row r="42" spans="2:9" x14ac:dyDescent="0.3">
      <c r="B42" t="s">
        <v>72</v>
      </c>
      <c r="C42" t="s">
        <v>8</v>
      </c>
      <c r="D42" t="s">
        <v>9</v>
      </c>
      <c r="E42" s="16">
        <v>36</v>
      </c>
      <c r="F42" s="8">
        <v>44529</v>
      </c>
      <c r="G42" s="6">
        <v>78390</v>
      </c>
      <c r="H42" t="s">
        <v>16</v>
      </c>
      <c r="I42" t="str">
        <f t="shared" si="1"/>
        <v>Nov 2021</v>
      </c>
    </row>
    <row r="43" spans="2:9" x14ac:dyDescent="0.3">
      <c r="B43" t="s">
        <v>88</v>
      </c>
      <c r="C43" t="s">
        <v>8</v>
      </c>
      <c r="D43" t="s">
        <v>21</v>
      </c>
      <c r="E43" s="16">
        <v>33</v>
      </c>
      <c r="F43" s="8">
        <v>44809</v>
      </c>
      <c r="G43" s="6">
        <v>86570</v>
      </c>
      <c r="H43" t="s">
        <v>16</v>
      </c>
      <c r="I43" t="str">
        <f t="shared" si="1"/>
        <v>Sep 2022</v>
      </c>
    </row>
    <row r="44" spans="2:9" x14ac:dyDescent="0.3">
      <c r="B44" t="s">
        <v>92</v>
      </c>
      <c r="C44" t="s">
        <v>8</v>
      </c>
      <c r="D44" t="s">
        <v>12</v>
      </c>
      <c r="E44" s="16">
        <v>27</v>
      </c>
      <c r="F44" s="8">
        <v>44686</v>
      </c>
      <c r="G44" s="6">
        <v>83750</v>
      </c>
      <c r="H44" t="s">
        <v>16</v>
      </c>
      <c r="I44" t="str">
        <f t="shared" si="1"/>
        <v>May 2022</v>
      </c>
    </row>
    <row r="45" spans="2:9" x14ac:dyDescent="0.3">
      <c r="B45" t="s">
        <v>102</v>
      </c>
      <c r="C45" t="s">
        <v>8</v>
      </c>
      <c r="D45" t="s">
        <v>21</v>
      </c>
      <c r="E45" s="16">
        <v>34</v>
      </c>
      <c r="F45" s="8">
        <v>44445</v>
      </c>
      <c r="G45" s="6">
        <v>92450</v>
      </c>
      <c r="H45" t="s">
        <v>16</v>
      </c>
      <c r="I45" t="str">
        <f t="shared" si="1"/>
        <v>Sep 2021</v>
      </c>
    </row>
    <row r="46" spans="2:9" x14ac:dyDescent="0.3">
      <c r="B46" t="s">
        <v>64</v>
      </c>
      <c r="C46" t="s">
        <v>15</v>
      </c>
      <c r="D46" t="s">
        <v>12</v>
      </c>
      <c r="E46" s="16">
        <v>20</v>
      </c>
      <c r="F46" s="8">
        <v>44183</v>
      </c>
      <c r="G46" s="6">
        <v>112650</v>
      </c>
      <c r="H46" t="s">
        <v>16</v>
      </c>
      <c r="I46" t="str">
        <f t="shared" si="1"/>
        <v>Dec 2020</v>
      </c>
    </row>
    <row r="47" spans="2:9" x14ac:dyDescent="0.3">
      <c r="B47" t="s">
        <v>104</v>
      </c>
      <c r="C47" t="s">
        <v>15</v>
      </c>
      <c r="D47" t="s">
        <v>9</v>
      </c>
      <c r="E47" s="16">
        <v>20</v>
      </c>
      <c r="F47" s="8">
        <v>44744</v>
      </c>
      <c r="G47" s="6">
        <v>79570</v>
      </c>
      <c r="H47" t="s">
        <v>16</v>
      </c>
      <c r="I47" t="str">
        <f t="shared" si="1"/>
        <v>Jul 2022</v>
      </c>
    </row>
    <row r="48" spans="2:9" x14ac:dyDescent="0.3">
      <c r="B48" t="s">
        <v>91</v>
      </c>
      <c r="C48" t="s">
        <v>8</v>
      </c>
      <c r="D48" t="s">
        <v>19</v>
      </c>
      <c r="E48" s="16">
        <v>20</v>
      </c>
      <c r="F48" s="8">
        <v>44537</v>
      </c>
      <c r="G48" s="6">
        <v>68900</v>
      </c>
      <c r="H48" t="s">
        <v>24</v>
      </c>
      <c r="I48" t="str">
        <f t="shared" si="1"/>
        <v>Dec 2021</v>
      </c>
    </row>
    <row r="49" spans="2:9" x14ac:dyDescent="0.3">
      <c r="B49" t="s">
        <v>39</v>
      </c>
      <c r="C49" t="s">
        <v>8</v>
      </c>
      <c r="D49" t="s">
        <v>12</v>
      </c>
      <c r="E49" s="16">
        <v>25</v>
      </c>
      <c r="F49" s="8">
        <v>44694</v>
      </c>
      <c r="G49" s="6">
        <v>80700</v>
      </c>
      <c r="H49" t="s">
        <v>13</v>
      </c>
      <c r="I49" t="str">
        <f t="shared" si="1"/>
        <v>May 2022</v>
      </c>
    </row>
    <row r="50" spans="2:9" x14ac:dyDescent="0.3">
      <c r="B50" t="s">
        <v>100</v>
      </c>
      <c r="C50" t="s">
        <v>15</v>
      </c>
      <c r="D50" t="s">
        <v>9</v>
      </c>
      <c r="E50" s="16">
        <v>19</v>
      </c>
      <c r="F50" s="8">
        <v>44277</v>
      </c>
      <c r="G50" s="6">
        <v>58960</v>
      </c>
      <c r="H50" t="s">
        <v>16</v>
      </c>
      <c r="I50" t="str">
        <f t="shared" si="1"/>
        <v>Mar 2021</v>
      </c>
    </row>
    <row r="51" spans="2:9" x14ac:dyDescent="0.3">
      <c r="B51" t="s">
        <v>106</v>
      </c>
      <c r="C51" t="s">
        <v>15</v>
      </c>
      <c r="D51" t="s">
        <v>12</v>
      </c>
      <c r="E51" s="16">
        <v>36</v>
      </c>
      <c r="F51" s="8">
        <v>44019</v>
      </c>
      <c r="G51" s="6">
        <v>118840</v>
      </c>
      <c r="H51" t="s">
        <v>16</v>
      </c>
      <c r="I51" t="str">
        <f t="shared" si="1"/>
        <v>Jul 2020</v>
      </c>
    </row>
    <row r="52" spans="2:9" x14ac:dyDescent="0.3">
      <c r="B52" t="s">
        <v>29</v>
      </c>
      <c r="C52" t="s">
        <v>15</v>
      </c>
      <c r="D52" t="s">
        <v>21</v>
      </c>
      <c r="E52" s="16">
        <v>28</v>
      </c>
      <c r="F52" s="8">
        <v>44041</v>
      </c>
      <c r="G52" s="6">
        <v>48170</v>
      </c>
      <c r="H52" t="s">
        <v>13</v>
      </c>
      <c r="I52" t="str">
        <f t="shared" si="1"/>
        <v>Jul 2020</v>
      </c>
    </row>
    <row r="53" spans="2:9" x14ac:dyDescent="0.3">
      <c r="B53" t="s">
        <v>108</v>
      </c>
      <c r="C53" t="s">
        <v>8</v>
      </c>
      <c r="D53" t="s">
        <v>56</v>
      </c>
      <c r="E53" s="16">
        <v>32</v>
      </c>
      <c r="F53" s="8">
        <v>44400</v>
      </c>
      <c r="G53" s="6">
        <v>45510</v>
      </c>
      <c r="H53" t="s">
        <v>16</v>
      </c>
      <c r="I53" t="str">
        <f t="shared" si="1"/>
        <v>Jul 2021</v>
      </c>
    </row>
    <row r="54" spans="2:9" x14ac:dyDescent="0.3">
      <c r="B54" t="s">
        <v>64</v>
      </c>
      <c r="C54" t="s">
        <v>15</v>
      </c>
      <c r="D54" t="s">
        <v>9</v>
      </c>
      <c r="E54" s="16">
        <v>34</v>
      </c>
      <c r="F54" s="8">
        <v>44703</v>
      </c>
      <c r="G54" s="6">
        <v>112650</v>
      </c>
      <c r="H54" t="s">
        <v>16</v>
      </c>
      <c r="I54" t="str">
        <f t="shared" si="1"/>
        <v>May 2022</v>
      </c>
    </row>
    <row r="55" spans="2:9" x14ac:dyDescent="0.3">
      <c r="B55" t="s">
        <v>83</v>
      </c>
      <c r="C55" t="s">
        <v>8</v>
      </c>
      <c r="D55" t="s">
        <v>9</v>
      </c>
      <c r="E55" s="16">
        <v>36</v>
      </c>
      <c r="F55" s="8">
        <v>44085</v>
      </c>
      <c r="G55" s="6">
        <v>114890</v>
      </c>
      <c r="H55" t="s">
        <v>16</v>
      </c>
      <c r="I55" t="str">
        <f t="shared" si="1"/>
        <v>Sep 2020</v>
      </c>
    </row>
    <row r="56" spans="2:9" x14ac:dyDescent="0.3">
      <c r="B56" t="s">
        <v>67</v>
      </c>
      <c r="C56" t="s">
        <v>15</v>
      </c>
      <c r="D56" t="s">
        <v>12</v>
      </c>
      <c r="E56" s="16">
        <v>30</v>
      </c>
      <c r="F56" s="8">
        <v>44850</v>
      </c>
      <c r="G56" s="6">
        <v>69710</v>
      </c>
      <c r="H56" t="s">
        <v>16</v>
      </c>
      <c r="I56" t="str">
        <f t="shared" si="1"/>
        <v>Oct 2022</v>
      </c>
    </row>
    <row r="57" spans="2:9" x14ac:dyDescent="0.3">
      <c r="B57" t="s">
        <v>94</v>
      </c>
      <c r="C57" t="s">
        <v>15</v>
      </c>
      <c r="D57" t="s">
        <v>21</v>
      </c>
      <c r="E57" s="16">
        <v>36</v>
      </c>
      <c r="F57" s="8">
        <v>44333</v>
      </c>
      <c r="G57" s="6">
        <v>71380</v>
      </c>
      <c r="H57" t="s">
        <v>16</v>
      </c>
      <c r="I57" t="str">
        <f t="shared" si="1"/>
        <v>May 2021</v>
      </c>
    </row>
    <row r="58" spans="2:9" x14ac:dyDescent="0.3">
      <c r="B58" t="s">
        <v>33</v>
      </c>
      <c r="C58" t="s">
        <v>8</v>
      </c>
      <c r="D58" t="s">
        <v>19</v>
      </c>
      <c r="E58" s="16">
        <v>38</v>
      </c>
      <c r="F58" s="8">
        <v>44377</v>
      </c>
      <c r="G58" s="6">
        <v>109160</v>
      </c>
      <c r="H58" t="s">
        <v>10</v>
      </c>
      <c r="I58" t="str">
        <f t="shared" si="1"/>
        <v>Jun 2021</v>
      </c>
    </row>
    <row r="59" spans="2:9" x14ac:dyDescent="0.3">
      <c r="B59" t="s">
        <v>98</v>
      </c>
      <c r="C59" t="s">
        <v>15</v>
      </c>
      <c r="D59" t="s">
        <v>9</v>
      </c>
      <c r="E59" s="16">
        <v>27</v>
      </c>
      <c r="F59" s="8">
        <v>44609</v>
      </c>
      <c r="G59" s="6">
        <v>113280</v>
      </c>
      <c r="H59" t="s">
        <v>42</v>
      </c>
      <c r="I59" t="str">
        <f t="shared" si="1"/>
        <v>Feb 2022</v>
      </c>
    </row>
    <row r="60" spans="2:9" x14ac:dyDescent="0.3">
      <c r="B60" t="s">
        <v>25</v>
      </c>
      <c r="C60" t="s">
        <v>15</v>
      </c>
      <c r="D60" t="s">
        <v>12</v>
      </c>
      <c r="E60" s="16">
        <v>30</v>
      </c>
      <c r="F60" s="8">
        <v>44273</v>
      </c>
      <c r="G60" s="6">
        <v>69120</v>
      </c>
      <c r="H60" t="s">
        <v>16</v>
      </c>
      <c r="I60" t="str">
        <f t="shared" si="1"/>
        <v>Mar 2021</v>
      </c>
    </row>
    <row r="61" spans="2:9" x14ac:dyDescent="0.3">
      <c r="B61" t="s">
        <v>55</v>
      </c>
      <c r="C61" t="s">
        <v>8</v>
      </c>
      <c r="D61" t="s">
        <v>56</v>
      </c>
      <c r="E61" s="16">
        <v>37</v>
      </c>
      <c r="F61" s="8">
        <v>44451</v>
      </c>
      <c r="G61" s="6">
        <v>118100</v>
      </c>
      <c r="H61" t="s">
        <v>16</v>
      </c>
      <c r="I61" t="str">
        <f t="shared" si="1"/>
        <v>Sep 2021</v>
      </c>
    </row>
    <row r="62" spans="2:9" x14ac:dyDescent="0.3">
      <c r="B62" t="s">
        <v>62</v>
      </c>
      <c r="C62" t="s">
        <v>8</v>
      </c>
      <c r="D62" t="s">
        <v>9</v>
      </c>
      <c r="E62" s="16">
        <v>22</v>
      </c>
      <c r="F62" s="8">
        <v>44450</v>
      </c>
      <c r="G62" s="6">
        <v>76900</v>
      </c>
      <c r="H62" t="s">
        <v>13</v>
      </c>
      <c r="I62" t="str">
        <f t="shared" si="1"/>
        <v>Sep 2021</v>
      </c>
    </row>
    <row r="63" spans="2:9" x14ac:dyDescent="0.3">
      <c r="B63" t="s">
        <v>17</v>
      </c>
      <c r="C63" t="s">
        <v>8</v>
      </c>
      <c r="D63" t="s">
        <v>12</v>
      </c>
      <c r="E63" s="16">
        <v>43</v>
      </c>
      <c r="F63" s="8">
        <v>45045</v>
      </c>
      <c r="G63" s="6">
        <v>114870</v>
      </c>
      <c r="H63" t="s">
        <v>16</v>
      </c>
      <c r="I63" t="str">
        <f t="shared" si="1"/>
        <v>Apr 2023</v>
      </c>
    </row>
    <row r="64" spans="2:9" x14ac:dyDescent="0.3">
      <c r="B64" t="s">
        <v>52</v>
      </c>
      <c r="C64" t="s">
        <v>231</v>
      </c>
      <c r="D64" t="s">
        <v>12</v>
      </c>
      <c r="E64" s="16">
        <v>32</v>
      </c>
      <c r="F64" s="8">
        <v>44774</v>
      </c>
      <c r="G64" s="6">
        <v>91310</v>
      </c>
      <c r="H64" t="s">
        <v>16</v>
      </c>
      <c r="I64" t="str">
        <f t="shared" si="1"/>
        <v>Aug 2022</v>
      </c>
    </row>
    <row r="65" spans="2:9" x14ac:dyDescent="0.3">
      <c r="B65" t="s">
        <v>43</v>
      </c>
      <c r="C65" t="s">
        <v>8</v>
      </c>
      <c r="D65" t="s">
        <v>9</v>
      </c>
      <c r="E65" s="16">
        <v>28</v>
      </c>
      <c r="F65" s="8">
        <v>44486</v>
      </c>
      <c r="G65" s="6">
        <v>104770</v>
      </c>
      <c r="H65" t="s">
        <v>16</v>
      </c>
      <c r="I65" t="str">
        <f t="shared" si="1"/>
        <v>Oct 2021</v>
      </c>
    </row>
    <row r="66" spans="2:9" x14ac:dyDescent="0.3">
      <c r="B66" t="s">
        <v>89</v>
      </c>
      <c r="C66" t="s">
        <v>15</v>
      </c>
      <c r="D66" t="s">
        <v>19</v>
      </c>
      <c r="E66" s="16">
        <v>27</v>
      </c>
      <c r="F66" s="8">
        <v>44134</v>
      </c>
      <c r="G66" s="6">
        <v>54970</v>
      </c>
      <c r="H66" t="s">
        <v>16</v>
      </c>
      <c r="I66" t="str">
        <f t="shared" ref="I66:I101" si="2">TEXT(F66,"mmm yyyy")</f>
        <v>Oct 2020</v>
      </c>
    </row>
    <row r="67" spans="2:9" x14ac:dyDescent="0.3">
      <c r="B67" t="s">
        <v>11</v>
      </c>
      <c r="C67" t="s">
        <v>231</v>
      </c>
      <c r="D67" t="s">
        <v>12</v>
      </c>
      <c r="E67" s="16">
        <v>26</v>
      </c>
      <c r="F67" s="8">
        <v>44271</v>
      </c>
      <c r="G67" s="6">
        <v>90700</v>
      </c>
      <c r="H67" t="s">
        <v>13</v>
      </c>
      <c r="I67" t="str">
        <f t="shared" si="2"/>
        <v>Mar 2021</v>
      </c>
    </row>
    <row r="68" spans="2:9" x14ac:dyDescent="0.3">
      <c r="B68" t="s">
        <v>109</v>
      </c>
      <c r="C68" t="s">
        <v>8</v>
      </c>
      <c r="D68" t="s">
        <v>19</v>
      </c>
      <c r="E68" s="16">
        <v>38</v>
      </c>
      <c r="F68" s="8">
        <v>44329</v>
      </c>
      <c r="G68" s="6">
        <v>56870</v>
      </c>
      <c r="H68" t="s">
        <v>13</v>
      </c>
      <c r="I68" t="str">
        <f t="shared" si="2"/>
        <v>May 2021</v>
      </c>
    </row>
    <row r="69" spans="2:9" x14ac:dyDescent="0.3">
      <c r="B69" t="s">
        <v>77</v>
      </c>
      <c r="C69" t="s">
        <v>8</v>
      </c>
      <c r="D69" t="s">
        <v>19</v>
      </c>
      <c r="E69" s="16">
        <v>25</v>
      </c>
      <c r="F69" s="8">
        <v>44205</v>
      </c>
      <c r="G69" s="6">
        <v>92700</v>
      </c>
      <c r="H69" t="s">
        <v>16</v>
      </c>
      <c r="I69" t="str">
        <f t="shared" si="2"/>
        <v>Jan 2021</v>
      </c>
    </row>
    <row r="70" spans="2:9" x14ac:dyDescent="0.3">
      <c r="B70" t="s">
        <v>32</v>
      </c>
      <c r="C70" t="s">
        <v>8</v>
      </c>
      <c r="D70" t="s">
        <v>21</v>
      </c>
      <c r="E70" s="16">
        <v>21</v>
      </c>
      <c r="F70" s="8">
        <v>44317</v>
      </c>
      <c r="G70" s="6">
        <v>65920</v>
      </c>
      <c r="H70" t="s">
        <v>16</v>
      </c>
      <c r="I70" t="str">
        <f t="shared" si="2"/>
        <v>May 2021</v>
      </c>
    </row>
    <row r="71" spans="2:9" x14ac:dyDescent="0.3">
      <c r="B71" t="s">
        <v>59</v>
      </c>
      <c r="C71" t="s">
        <v>15</v>
      </c>
      <c r="D71" t="s">
        <v>9</v>
      </c>
      <c r="E71" s="16">
        <v>26</v>
      </c>
      <c r="F71" s="8">
        <v>44225</v>
      </c>
      <c r="G71" s="6">
        <v>47360</v>
      </c>
      <c r="H71" t="s">
        <v>16</v>
      </c>
      <c r="I71" t="str">
        <f t="shared" si="2"/>
        <v>Jan 2021</v>
      </c>
    </row>
    <row r="72" spans="2:9" x14ac:dyDescent="0.3">
      <c r="B72" t="s">
        <v>37</v>
      </c>
      <c r="C72" t="s">
        <v>15</v>
      </c>
      <c r="D72" t="s">
        <v>9</v>
      </c>
      <c r="E72" s="16">
        <v>30</v>
      </c>
      <c r="F72" s="8">
        <v>44666</v>
      </c>
      <c r="G72" s="6">
        <v>60570</v>
      </c>
      <c r="H72" t="s">
        <v>16</v>
      </c>
      <c r="I72" t="str">
        <f t="shared" si="2"/>
        <v>Apr 2022</v>
      </c>
    </row>
    <row r="73" spans="2:9" x14ac:dyDescent="0.3">
      <c r="B73" t="s">
        <v>96</v>
      </c>
      <c r="C73" t="s">
        <v>8</v>
      </c>
      <c r="D73" t="s">
        <v>9</v>
      </c>
      <c r="E73" s="16">
        <v>28</v>
      </c>
      <c r="F73" s="8">
        <v>44649</v>
      </c>
      <c r="G73" s="6">
        <v>104120</v>
      </c>
      <c r="H73" t="s">
        <v>16</v>
      </c>
      <c r="I73" t="str">
        <f t="shared" si="2"/>
        <v>Mar 2022</v>
      </c>
    </row>
    <row r="74" spans="2:9" x14ac:dyDescent="0.3">
      <c r="B74" t="s">
        <v>23</v>
      </c>
      <c r="C74" t="s">
        <v>15</v>
      </c>
      <c r="D74" t="s">
        <v>12</v>
      </c>
      <c r="E74" s="16">
        <v>37</v>
      </c>
      <c r="F74" s="8">
        <v>44338</v>
      </c>
      <c r="G74" s="6">
        <v>88050</v>
      </c>
      <c r="H74" t="s">
        <v>24</v>
      </c>
      <c r="I74" t="str">
        <f t="shared" si="2"/>
        <v>May 2021</v>
      </c>
    </row>
    <row r="75" spans="2:9" x14ac:dyDescent="0.3">
      <c r="B75" t="s">
        <v>103</v>
      </c>
      <c r="C75" t="s">
        <v>15</v>
      </c>
      <c r="D75" t="s">
        <v>12</v>
      </c>
      <c r="E75" s="16">
        <v>24</v>
      </c>
      <c r="F75" s="8">
        <v>44686</v>
      </c>
      <c r="G75" s="6">
        <v>100420</v>
      </c>
      <c r="H75" t="s">
        <v>16</v>
      </c>
      <c r="I75" t="str">
        <f t="shared" si="2"/>
        <v>May 2022</v>
      </c>
    </row>
    <row r="76" spans="2:9" x14ac:dyDescent="0.3">
      <c r="B76" t="s">
        <v>54</v>
      </c>
      <c r="C76" t="s">
        <v>8</v>
      </c>
      <c r="D76" t="s">
        <v>9</v>
      </c>
      <c r="E76" s="16">
        <v>30</v>
      </c>
      <c r="F76" s="8">
        <v>44850</v>
      </c>
      <c r="G76" s="6">
        <v>114180</v>
      </c>
      <c r="H76" t="s">
        <v>16</v>
      </c>
      <c r="I76" t="str">
        <f t="shared" si="2"/>
        <v>Oct 2022</v>
      </c>
    </row>
    <row r="77" spans="2:9" x14ac:dyDescent="0.3">
      <c r="B77" t="s">
        <v>86</v>
      </c>
      <c r="C77" t="s">
        <v>8</v>
      </c>
      <c r="D77" t="s">
        <v>12</v>
      </c>
      <c r="E77" s="16">
        <v>21</v>
      </c>
      <c r="F77" s="8">
        <v>44678</v>
      </c>
      <c r="G77" s="6">
        <v>33920</v>
      </c>
      <c r="H77" t="s">
        <v>16</v>
      </c>
      <c r="I77" t="str">
        <f t="shared" si="2"/>
        <v>Apr 2022</v>
      </c>
    </row>
    <row r="78" spans="2:9" x14ac:dyDescent="0.3">
      <c r="B78" t="s">
        <v>69</v>
      </c>
      <c r="C78" t="s">
        <v>15</v>
      </c>
      <c r="D78" t="s">
        <v>9</v>
      </c>
      <c r="E78" s="16">
        <v>23</v>
      </c>
      <c r="F78" s="8">
        <v>44440</v>
      </c>
      <c r="G78" s="6">
        <v>106460</v>
      </c>
      <c r="H78" t="s">
        <v>16</v>
      </c>
      <c r="I78" t="str">
        <f t="shared" si="2"/>
        <v>Sep 2021</v>
      </c>
    </row>
    <row r="79" spans="2:9" x14ac:dyDescent="0.3">
      <c r="B79" t="s">
        <v>57</v>
      </c>
      <c r="C79" t="s">
        <v>15</v>
      </c>
      <c r="D79" t="s">
        <v>9</v>
      </c>
      <c r="E79" s="16">
        <v>35</v>
      </c>
      <c r="F79" s="8">
        <v>44727</v>
      </c>
      <c r="G79" s="6">
        <v>40400</v>
      </c>
      <c r="H79" t="s">
        <v>16</v>
      </c>
      <c r="I79" t="str">
        <f t="shared" si="2"/>
        <v>Jun 2022</v>
      </c>
    </row>
    <row r="80" spans="2:9" x14ac:dyDescent="0.3">
      <c r="B80" t="s">
        <v>68</v>
      </c>
      <c r="C80" t="s">
        <v>15</v>
      </c>
      <c r="D80" t="s">
        <v>21</v>
      </c>
      <c r="E80" s="16">
        <v>27</v>
      </c>
      <c r="F80" s="8">
        <v>44236</v>
      </c>
      <c r="G80" s="6">
        <v>91650</v>
      </c>
      <c r="H80" t="s">
        <v>13</v>
      </c>
      <c r="I80" t="str">
        <f t="shared" si="2"/>
        <v>Feb 2021</v>
      </c>
    </row>
    <row r="81" spans="2:9" x14ac:dyDescent="0.3">
      <c r="B81" t="s">
        <v>99</v>
      </c>
      <c r="C81" t="s">
        <v>15</v>
      </c>
      <c r="D81" t="s">
        <v>19</v>
      </c>
      <c r="E81" s="16">
        <v>43</v>
      </c>
      <c r="F81" s="8">
        <v>44620</v>
      </c>
      <c r="G81" s="6">
        <v>36040</v>
      </c>
      <c r="H81" t="s">
        <v>16</v>
      </c>
      <c r="I81" t="str">
        <f t="shared" si="2"/>
        <v>Feb 2022</v>
      </c>
    </row>
    <row r="82" spans="2:9" x14ac:dyDescent="0.3">
      <c r="B82" t="s">
        <v>101</v>
      </c>
      <c r="C82" t="s">
        <v>8</v>
      </c>
      <c r="D82" t="s">
        <v>12</v>
      </c>
      <c r="E82" s="16">
        <v>40</v>
      </c>
      <c r="F82" s="8">
        <v>44381</v>
      </c>
      <c r="G82" s="6">
        <v>104410</v>
      </c>
      <c r="H82" t="s">
        <v>16</v>
      </c>
      <c r="I82" t="str">
        <f t="shared" si="2"/>
        <v>Jul 2021</v>
      </c>
    </row>
    <row r="83" spans="2:9" x14ac:dyDescent="0.3">
      <c r="B83" t="s">
        <v>85</v>
      </c>
      <c r="C83" t="s">
        <v>15</v>
      </c>
      <c r="D83" t="s">
        <v>21</v>
      </c>
      <c r="E83" s="16">
        <v>30</v>
      </c>
      <c r="F83" s="8">
        <v>44606</v>
      </c>
      <c r="G83" s="6">
        <v>96800</v>
      </c>
      <c r="H83" t="s">
        <v>16</v>
      </c>
      <c r="I83" t="str">
        <f t="shared" si="2"/>
        <v>Feb 2022</v>
      </c>
    </row>
    <row r="84" spans="2:9" x14ac:dyDescent="0.3">
      <c r="B84" t="s">
        <v>28</v>
      </c>
      <c r="C84" t="s">
        <v>8</v>
      </c>
      <c r="D84" t="s">
        <v>21</v>
      </c>
      <c r="E84" s="16">
        <v>34</v>
      </c>
      <c r="F84" s="8">
        <v>44459</v>
      </c>
      <c r="G84" s="6">
        <v>85000</v>
      </c>
      <c r="H84" t="s">
        <v>16</v>
      </c>
      <c r="I84" t="str">
        <f t="shared" si="2"/>
        <v>Sep 2021</v>
      </c>
    </row>
    <row r="85" spans="2:9" x14ac:dyDescent="0.3">
      <c r="B85" t="s">
        <v>80</v>
      </c>
      <c r="C85" t="s">
        <v>15</v>
      </c>
      <c r="D85" t="s">
        <v>19</v>
      </c>
      <c r="E85" s="16">
        <v>28</v>
      </c>
      <c r="F85" s="8">
        <v>44820</v>
      </c>
      <c r="G85" s="6">
        <v>43510</v>
      </c>
      <c r="H85" t="s">
        <v>42</v>
      </c>
      <c r="I85" t="str">
        <f t="shared" si="2"/>
        <v>Sep 2022</v>
      </c>
    </row>
    <row r="86" spans="2:9" x14ac:dyDescent="0.3">
      <c r="B86" t="s">
        <v>79</v>
      </c>
      <c r="C86" t="s">
        <v>15</v>
      </c>
      <c r="D86" t="s">
        <v>21</v>
      </c>
      <c r="E86" s="16">
        <v>33</v>
      </c>
      <c r="F86" s="8">
        <v>44243</v>
      </c>
      <c r="G86" s="6">
        <v>59430</v>
      </c>
      <c r="H86" t="s">
        <v>16</v>
      </c>
      <c r="I86" t="str">
        <f t="shared" si="2"/>
        <v>Feb 2021</v>
      </c>
    </row>
    <row r="87" spans="2:9" x14ac:dyDescent="0.3">
      <c r="B87" t="s">
        <v>93</v>
      </c>
      <c r="C87" t="s">
        <v>8</v>
      </c>
      <c r="D87" t="s">
        <v>21</v>
      </c>
      <c r="E87" s="16">
        <v>33</v>
      </c>
      <c r="F87" s="8">
        <v>44067</v>
      </c>
      <c r="G87" s="6">
        <v>65360</v>
      </c>
      <c r="H87" t="s">
        <v>16</v>
      </c>
      <c r="I87" t="str">
        <f t="shared" si="2"/>
        <v>Aug 2020</v>
      </c>
    </row>
    <row r="88" spans="2:9" x14ac:dyDescent="0.3">
      <c r="B88" t="s">
        <v>66</v>
      </c>
      <c r="C88" t="s">
        <v>8</v>
      </c>
      <c r="D88" t="s">
        <v>9</v>
      </c>
      <c r="E88" s="16">
        <v>32</v>
      </c>
      <c r="F88" s="8">
        <v>44611</v>
      </c>
      <c r="G88" s="6">
        <v>41570</v>
      </c>
      <c r="H88" t="s">
        <v>16</v>
      </c>
      <c r="I88" t="str">
        <f t="shared" si="2"/>
        <v>Feb 2022</v>
      </c>
    </row>
    <row r="89" spans="2:9" x14ac:dyDescent="0.3">
      <c r="B89" t="s">
        <v>95</v>
      </c>
      <c r="C89" t="s">
        <v>8</v>
      </c>
      <c r="D89" t="s">
        <v>12</v>
      </c>
      <c r="E89" s="16">
        <v>33</v>
      </c>
      <c r="F89" s="8">
        <v>44312</v>
      </c>
      <c r="G89" s="6">
        <v>75280</v>
      </c>
      <c r="H89" t="s">
        <v>16</v>
      </c>
      <c r="I89" t="str">
        <f t="shared" si="2"/>
        <v>Apr 2021</v>
      </c>
    </row>
    <row r="90" spans="2:9" x14ac:dyDescent="0.3">
      <c r="B90" t="s">
        <v>18</v>
      </c>
      <c r="C90" t="s">
        <v>15</v>
      </c>
      <c r="D90" t="s">
        <v>19</v>
      </c>
      <c r="E90" s="16">
        <v>33</v>
      </c>
      <c r="F90" s="8">
        <v>44385</v>
      </c>
      <c r="G90" s="6">
        <v>74550</v>
      </c>
      <c r="H90" t="s">
        <v>16</v>
      </c>
      <c r="I90" t="str">
        <f t="shared" si="2"/>
        <v>Jul 2021</v>
      </c>
    </row>
    <row r="91" spans="2:9" x14ac:dyDescent="0.3">
      <c r="B91" t="s">
        <v>45</v>
      </c>
      <c r="C91" t="s">
        <v>15</v>
      </c>
      <c r="D91" t="s">
        <v>9</v>
      </c>
      <c r="E91" s="16">
        <v>30</v>
      </c>
      <c r="F91" s="8">
        <v>44701</v>
      </c>
      <c r="G91" s="6">
        <v>67950</v>
      </c>
      <c r="H91" t="s">
        <v>16</v>
      </c>
      <c r="I91" t="str">
        <f t="shared" si="2"/>
        <v>May 2022</v>
      </c>
    </row>
    <row r="92" spans="2:9" x14ac:dyDescent="0.3">
      <c r="B92" t="s">
        <v>90</v>
      </c>
      <c r="C92" t="s">
        <v>15</v>
      </c>
      <c r="D92" t="s">
        <v>21</v>
      </c>
      <c r="E92" s="16">
        <v>42</v>
      </c>
      <c r="F92" s="8">
        <v>44731</v>
      </c>
      <c r="G92" s="6">
        <v>70270</v>
      </c>
      <c r="H92" t="s">
        <v>24</v>
      </c>
      <c r="I92" t="str">
        <f t="shared" si="2"/>
        <v>Jun 2022</v>
      </c>
    </row>
    <row r="93" spans="2:9" x14ac:dyDescent="0.3">
      <c r="B93" t="s">
        <v>46</v>
      </c>
      <c r="C93" t="s">
        <v>15</v>
      </c>
      <c r="D93" t="s">
        <v>9</v>
      </c>
      <c r="E93" s="16">
        <v>26</v>
      </c>
      <c r="F93" s="8">
        <v>44411</v>
      </c>
      <c r="G93" s="6">
        <v>53540</v>
      </c>
      <c r="H93" t="s">
        <v>16</v>
      </c>
      <c r="I93" t="str">
        <f t="shared" si="2"/>
        <v>Aug 2021</v>
      </c>
    </row>
    <row r="94" spans="2:9" x14ac:dyDescent="0.3">
      <c r="B94" t="s">
        <v>58</v>
      </c>
      <c r="C94" t="s">
        <v>15</v>
      </c>
      <c r="D94" t="s">
        <v>19</v>
      </c>
      <c r="E94" s="16">
        <v>22</v>
      </c>
      <c r="F94" s="8">
        <v>44446</v>
      </c>
      <c r="G94" s="6">
        <v>112780</v>
      </c>
      <c r="H94" t="s">
        <v>13</v>
      </c>
      <c r="I94" t="str">
        <f t="shared" si="2"/>
        <v>Sep 2021</v>
      </c>
    </row>
    <row r="95" spans="2:9" x14ac:dyDescent="0.3">
      <c r="B95" t="s">
        <v>70</v>
      </c>
      <c r="C95" t="s">
        <v>15</v>
      </c>
      <c r="D95" t="s">
        <v>9</v>
      </c>
      <c r="E95" s="16">
        <v>46</v>
      </c>
      <c r="F95" s="8">
        <v>44758</v>
      </c>
      <c r="G95" s="6">
        <v>70610</v>
      </c>
      <c r="H95" t="s">
        <v>16</v>
      </c>
      <c r="I95" t="str">
        <f t="shared" si="2"/>
        <v>Jul 2022</v>
      </c>
    </row>
    <row r="96" spans="2:9" x14ac:dyDescent="0.3">
      <c r="B96" t="s">
        <v>75</v>
      </c>
      <c r="C96" t="s">
        <v>8</v>
      </c>
      <c r="D96" t="s">
        <v>19</v>
      </c>
      <c r="E96" s="16">
        <v>28</v>
      </c>
      <c r="F96" s="8">
        <v>44357</v>
      </c>
      <c r="G96" s="6">
        <v>53240</v>
      </c>
      <c r="H96" t="s">
        <v>16</v>
      </c>
      <c r="I96" t="str">
        <f t="shared" si="2"/>
        <v>Jun 2021</v>
      </c>
    </row>
    <row r="97" spans="2:9" x14ac:dyDescent="0.3">
      <c r="B97" t="s">
        <v>49</v>
      </c>
      <c r="C97" t="s">
        <v>231</v>
      </c>
      <c r="D97" t="s">
        <v>21</v>
      </c>
      <c r="E97" s="16">
        <v>37</v>
      </c>
      <c r="F97" s="8">
        <v>44146</v>
      </c>
      <c r="G97" s="6">
        <v>115440</v>
      </c>
      <c r="H97" t="s">
        <v>24</v>
      </c>
      <c r="I97" t="str">
        <f t="shared" si="2"/>
        <v>Nov 2020</v>
      </c>
    </row>
    <row r="98" spans="2:9" x14ac:dyDescent="0.3">
      <c r="B98" t="s">
        <v>65</v>
      </c>
      <c r="C98" t="s">
        <v>15</v>
      </c>
      <c r="D98" t="s">
        <v>19</v>
      </c>
      <c r="E98" s="16">
        <v>32</v>
      </c>
      <c r="F98" s="8">
        <v>44465</v>
      </c>
      <c r="G98" s="6">
        <v>53540</v>
      </c>
      <c r="H98" t="s">
        <v>16</v>
      </c>
      <c r="I98" t="str">
        <f t="shared" si="2"/>
        <v>Sep 2021</v>
      </c>
    </row>
    <row r="99" spans="2:9" x14ac:dyDescent="0.3">
      <c r="B99" t="s">
        <v>81</v>
      </c>
      <c r="C99" t="s">
        <v>8</v>
      </c>
      <c r="D99" t="s">
        <v>9</v>
      </c>
      <c r="E99" s="16">
        <v>30</v>
      </c>
      <c r="F99" s="8">
        <v>44861</v>
      </c>
      <c r="G99" s="6">
        <v>112570</v>
      </c>
      <c r="H99" t="s">
        <v>16</v>
      </c>
      <c r="I99" t="str">
        <f t="shared" si="2"/>
        <v>Oct 2022</v>
      </c>
    </row>
    <row r="100" spans="2:9" x14ac:dyDescent="0.3">
      <c r="B100" t="s">
        <v>51</v>
      </c>
      <c r="C100" t="s">
        <v>15</v>
      </c>
      <c r="D100" t="s">
        <v>9</v>
      </c>
      <c r="E100" s="16">
        <v>33</v>
      </c>
      <c r="F100" s="8">
        <v>44701</v>
      </c>
      <c r="G100" s="6">
        <v>48530</v>
      </c>
      <c r="H100" t="s">
        <v>13</v>
      </c>
      <c r="I100" t="str">
        <f t="shared" si="2"/>
        <v>May 2022</v>
      </c>
    </row>
    <row r="101" spans="2:9" x14ac:dyDescent="0.3">
      <c r="B101" t="s">
        <v>61</v>
      </c>
      <c r="C101" t="s">
        <v>8</v>
      </c>
      <c r="D101" t="s">
        <v>12</v>
      </c>
      <c r="E101" s="16">
        <v>24</v>
      </c>
      <c r="F101" s="8">
        <v>44148</v>
      </c>
      <c r="G101" s="6">
        <v>62780</v>
      </c>
      <c r="H101" t="s">
        <v>16</v>
      </c>
      <c r="I101" t="str">
        <f t="shared" si="2"/>
        <v>Nov 2020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1196-D544-40B7-BAE0-44C92D75BD61}">
  <dimension ref="A1:BM32"/>
  <sheetViews>
    <sheetView tabSelected="1" topLeftCell="C1" zoomScale="88" workbookViewId="0">
      <selection activeCell="Q29" sqref="Q29"/>
    </sheetView>
  </sheetViews>
  <sheetFormatPr defaultRowHeight="13.8" x14ac:dyDescent="0.25"/>
  <cols>
    <col min="1" max="7" width="17.88671875" style="25" customWidth="1"/>
    <col min="8" max="8" width="8.88671875" style="25"/>
    <col min="9" max="9" width="18.88671875" style="25" customWidth="1"/>
    <col min="10" max="10" width="13.77734375" style="25" customWidth="1"/>
    <col min="11" max="11" width="14.6640625" style="25" customWidth="1"/>
    <col min="12" max="12" width="14.21875" style="25" customWidth="1"/>
    <col min="13" max="13" width="12.88671875" style="25" bestFit="1" customWidth="1"/>
    <col min="14" max="14" width="11.77734375" style="25" customWidth="1"/>
    <col min="15" max="60" width="8.88671875" style="25"/>
    <col min="61" max="63" width="16.109375" style="25" customWidth="1"/>
    <col min="64" max="64" width="9.6640625" style="25" customWidth="1"/>
    <col min="65" max="65" width="15.109375" style="26" customWidth="1"/>
    <col min="66" max="66" width="11.77734375" style="25" customWidth="1"/>
    <col min="67" max="67" width="16.109375" style="25" customWidth="1"/>
    <col min="68" max="16384" width="8.88671875" style="25"/>
  </cols>
  <sheetData>
    <row r="1" spans="1:17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2" t="s">
        <v>6</v>
      </c>
    </row>
    <row r="2" spans="1:17" x14ac:dyDescent="0.25">
      <c r="A2" s="27" t="str" cm="1">
        <f t="array" ref="A2:G18">_xlfn._xlws.FILTER(Data!A2:G101,Data!C2:C101 = department_value, "No data found for this department")</f>
        <v>Lindy Guillet</v>
      </c>
      <c r="B2" s="27" t="str">
        <v>Male</v>
      </c>
      <c r="C2" s="27" t="str">
        <v>Sales</v>
      </c>
      <c r="D2" s="27">
        <v>22</v>
      </c>
      <c r="E2" s="28">
        <v>44446</v>
      </c>
      <c r="F2" s="27">
        <v>112780</v>
      </c>
      <c r="G2" s="27" t="str">
        <v>Above average</v>
      </c>
      <c r="P2" s="25" t="s">
        <v>208</v>
      </c>
    </row>
    <row r="3" spans="1:17" x14ac:dyDescent="0.25">
      <c r="A3" s="27" t="str">
        <v>Tatum Hush</v>
      </c>
      <c r="B3" s="27" t="str">
        <v>Female</v>
      </c>
      <c r="C3" s="27" t="str">
        <v>Sales</v>
      </c>
      <c r="D3" s="27">
        <v>28</v>
      </c>
      <c r="E3" s="28">
        <v>44357</v>
      </c>
      <c r="F3" s="27">
        <v>53240</v>
      </c>
      <c r="G3" s="27" t="str">
        <v>Average</v>
      </c>
      <c r="Q3" s="25" t="s">
        <v>211</v>
      </c>
    </row>
    <row r="4" spans="1:17" x14ac:dyDescent="0.25">
      <c r="A4" s="27" t="str">
        <v>Hoyt D'Alesco</v>
      </c>
      <c r="B4" s="27" t="str">
        <v>Male</v>
      </c>
      <c r="C4" s="27" t="str">
        <v>Sales</v>
      </c>
      <c r="D4" s="27">
        <v>32</v>
      </c>
      <c r="E4" s="28">
        <v>44465</v>
      </c>
      <c r="F4" s="27">
        <v>53540</v>
      </c>
      <c r="G4" s="27" t="str">
        <v>Average</v>
      </c>
      <c r="I4" s="29" t="s">
        <v>267</v>
      </c>
      <c r="J4" s="30" t="str">
        <f>C2</f>
        <v>Sales</v>
      </c>
      <c r="Q4" s="25" t="s">
        <v>212</v>
      </c>
    </row>
    <row r="5" spans="1:17" x14ac:dyDescent="0.25">
      <c r="A5" s="27" t="str">
        <v>Kath Bletsoe</v>
      </c>
      <c r="B5" s="27" t="str">
        <v>Male</v>
      </c>
      <c r="C5" s="27" t="str">
        <v>Sales</v>
      </c>
      <c r="D5" s="27">
        <v>25</v>
      </c>
      <c r="E5" s="28">
        <v>44383</v>
      </c>
      <c r="F5" s="27">
        <v>65700</v>
      </c>
      <c r="G5" s="27" t="str">
        <v>Average</v>
      </c>
      <c r="I5" s="29" t="s">
        <v>268</v>
      </c>
      <c r="J5" s="27">
        <f>COUNTA(A2:A100)</f>
        <v>17</v>
      </c>
      <c r="Q5" s="25" t="s">
        <v>209</v>
      </c>
    </row>
    <row r="6" spans="1:17" x14ac:dyDescent="0.25">
      <c r="A6" s="27" t="str">
        <v>Gray Seamon</v>
      </c>
      <c r="B6" s="27" t="str">
        <v>Female</v>
      </c>
      <c r="C6" s="27" t="str">
        <v>Sales</v>
      </c>
      <c r="D6" s="27">
        <v>36</v>
      </c>
      <c r="E6" s="28">
        <v>44494</v>
      </c>
      <c r="F6" s="27">
        <v>78540</v>
      </c>
      <c r="G6" s="27" t="str">
        <v>Average</v>
      </c>
      <c r="I6" s="29" t="s">
        <v>239</v>
      </c>
      <c r="J6" s="31">
        <f>AVERAGE(D:D)</f>
        <v>30.058823529411764</v>
      </c>
      <c r="Q6" s="25" t="s">
        <v>210</v>
      </c>
    </row>
    <row r="7" spans="1:17" x14ac:dyDescent="0.25">
      <c r="A7" s="27" t="str">
        <v>Violante Courtonne</v>
      </c>
      <c r="B7" s="27" t="str">
        <v>Female</v>
      </c>
      <c r="C7" s="27" t="str">
        <v>Sales</v>
      </c>
      <c r="D7" s="27">
        <v>34</v>
      </c>
      <c r="E7" s="28">
        <v>44721</v>
      </c>
      <c r="F7" s="27">
        <v>49630</v>
      </c>
      <c r="G7" s="27" t="str">
        <v>Poor</v>
      </c>
      <c r="I7" s="29" t="s">
        <v>204</v>
      </c>
      <c r="J7" s="32">
        <f>AVERAGE(F:F)</f>
        <v>68805.294117647063</v>
      </c>
      <c r="Q7" s="25" t="s">
        <v>253</v>
      </c>
    </row>
    <row r="8" spans="1:17" x14ac:dyDescent="0.25">
      <c r="A8" s="27" t="str">
        <v>Hyacinthie Braybrooke</v>
      </c>
      <c r="B8" s="27" t="str">
        <v>Female</v>
      </c>
      <c r="C8" s="27" t="str">
        <v>Sales</v>
      </c>
      <c r="D8" s="27">
        <v>20</v>
      </c>
      <c r="E8" s="28">
        <v>44537</v>
      </c>
      <c r="F8" s="27">
        <v>68900</v>
      </c>
      <c r="G8" s="27" t="str">
        <v>Poor</v>
      </c>
      <c r="Q8" s="25" t="s">
        <v>214</v>
      </c>
    </row>
    <row r="9" spans="1:17" x14ac:dyDescent="0.25">
      <c r="A9" s="27" t="str">
        <v>Rafaelita Blaksland</v>
      </c>
      <c r="B9" s="27" t="str">
        <v>Female</v>
      </c>
      <c r="C9" s="27" t="str">
        <v>Sales</v>
      </c>
      <c r="D9" s="27">
        <v>38</v>
      </c>
      <c r="E9" s="28">
        <v>44377</v>
      </c>
      <c r="F9" s="27">
        <v>109160</v>
      </c>
      <c r="G9" s="27" t="str">
        <v>Exceptional</v>
      </c>
      <c r="I9" s="33"/>
      <c r="J9" s="29" t="s">
        <v>15</v>
      </c>
      <c r="K9" s="29" t="s">
        <v>8</v>
      </c>
      <c r="L9" s="29" t="s">
        <v>231</v>
      </c>
    </row>
    <row r="10" spans="1:17" x14ac:dyDescent="0.25">
      <c r="A10" s="27" t="str">
        <v>Alta Kaszper</v>
      </c>
      <c r="B10" s="27" t="str">
        <v>Male</v>
      </c>
      <c r="C10" s="27" t="str">
        <v>Sales</v>
      </c>
      <c r="D10" s="27">
        <v>27</v>
      </c>
      <c r="E10" s="28">
        <v>44134</v>
      </c>
      <c r="F10" s="27">
        <v>54970</v>
      </c>
      <c r="G10" s="27" t="str">
        <v>Average</v>
      </c>
      <c r="I10" s="29" t="s">
        <v>1</v>
      </c>
      <c r="J10" s="27">
        <f>COUNTIF($B:$B,J$9)</f>
        <v>9</v>
      </c>
      <c r="K10" s="27">
        <f t="shared" ref="K10:L10" si="0">COUNTIF($B:$B,K$9)</f>
        <v>8</v>
      </c>
      <c r="L10" s="27">
        <f t="shared" si="0"/>
        <v>0</v>
      </c>
    </row>
    <row r="11" spans="1:17" x14ac:dyDescent="0.25">
      <c r="A11" s="27" t="str">
        <v>Oran Buxcy</v>
      </c>
      <c r="B11" s="27" t="str">
        <v>Female</v>
      </c>
      <c r="C11" s="27" t="str">
        <v>Sales</v>
      </c>
      <c r="D11" s="27">
        <v>38</v>
      </c>
      <c r="E11" s="28">
        <v>44329</v>
      </c>
      <c r="F11" s="27">
        <v>56870</v>
      </c>
      <c r="G11" s="27" t="str">
        <v>Above average</v>
      </c>
    </row>
    <row r="12" spans="1:17" x14ac:dyDescent="0.25">
      <c r="A12" s="27" t="str">
        <v>Hinda Label</v>
      </c>
      <c r="B12" s="27" t="str">
        <v>Female</v>
      </c>
      <c r="C12" s="27" t="str">
        <v>Sales</v>
      </c>
      <c r="D12" s="27">
        <v>25</v>
      </c>
      <c r="E12" s="28">
        <v>44205</v>
      </c>
      <c r="F12" s="27">
        <v>92700</v>
      </c>
      <c r="G12" s="27" t="str">
        <v>Average</v>
      </c>
    </row>
    <row r="13" spans="1:17" x14ac:dyDescent="0.25">
      <c r="A13" s="27" t="str">
        <v>Bili Sizey</v>
      </c>
      <c r="B13" s="27" t="str">
        <v>Male</v>
      </c>
      <c r="C13" s="27" t="str">
        <v>Sales</v>
      </c>
      <c r="D13" s="27">
        <v>43</v>
      </c>
      <c r="E13" s="28">
        <v>44620</v>
      </c>
      <c r="F13" s="27">
        <v>36040</v>
      </c>
      <c r="G13" s="27" t="str">
        <v>Average</v>
      </c>
    </row>
    <row r="14" spans="1:17" x14ac:dyDescent="0.25">
      <c r="A14" s="27" t="str">
        <v>Drusy MacCombe</v>
      </c>
      <c r="B14" s="27" t="str">
        <v>Male</v>
      </c>
      <c r="C14" s="27" t="str">
        <v>Sales</v>
      </c>
      <c r="D14" s="27">
        <v>28</v>
      </c>
      <c r="E14" s="28">
        <v>44820</v>
      </c>
      <c r="F14" s="27">
        <v>43510</v>
      </c>
      <c r="G14" s="27" t="str">
        <v>Very poor</v>
      </c>
      <c r="J14" s="33" t="s">
        <v>266</v>
      </c>
    </row>
    <row r="15" spans="1:17" x14ac:dyDescent="0.25">
      <c r="A15" s="27" t="str">
        <v>Gigi Bohling</v>
      </c>
      <c r="B15" s="27" t="str">
        <v>Male</v>
      </c>
      <c r="C15" s="27" t="str">
        <v>Sales</v>
      </c>
      <c r="D15" s="27">
        <v>33</v>
      </c>
      <c r="E15" s="28">
        <v>44385</v>
      </c>
      <c r="F15" s="27">
        <v>74550</v>
      </c>
      <c r="G15" s="27" t="str">
        <v>Average</v>
      </c>
      <c r="J15" s="29" t="s">
        <v>15</v>
      </c>
      <c r="K15" s="29" t="s">
        <v>8</v>
      </c>
      <c r="L15" s="29" t="s">
        <v>231</v>
      </c>
    </row>
    <row r="16" spans="1:17" x14ac:dyDescent="0.25">
      <c r="A16" s="27" t="str">
        <v>Lindy Guillet</v>
      </c>
      <c r="B16" s="27" t="str">
        <v>Male</v>
      </c>
      <c r="C16" s="27" t="str">
        <v>Sales</v>
      </c>
      <c r="D16" s="27">
        <v>22</v>
      </c>
      <c r="E16" s="28">
        <v>44446</v>
      </c>
      <c r="F16" s="27">
        <v>112780</v>
      </c>
      <c r="G16" s="27" t="str">
        <v>Above average</v>
      </c>
      <c r="I16" s="29" t="s">
        <v>204</v>
      </c>
      <c r="J16" s="34">
        <f>AVERAGEIF(B:B,"Male",F:F)</f>
        <v>67490</v>
      </c>
      <c r="K16" s="34">
        <f>AVERAGEIF(B:B,"Female",F:F)</f>
        <v>70285</v>
      </c>
      <c r="L16" s="34" t="str">
        <f>IFERROR(AVERAGEIF(B:B,"Other",F:F),"NA")</f>
        <v>NA</v>
      </c>
    </row>
    <row r="17" spans="1:15" x14ac:dyDescent="0.25">
      <c r="A17" s="27" t="str">
        <v>Tatum Hush</v>
      </c>
      <c r="B17" s="27" t="str">
        <v>Female</v>
      </c>
      <c r="C17" s="27" t="str">
        <v>Sales</v>
      </c>
      <c r="D17" s="27">
        <v>28</v>
      </c>
      <c r="E17" s="28">
        <v>44357</v>
      </c>
      <c r="F17" s="27">
        <v>53240</v>
      </c>
      <c r="G17" s="27" t="str">
        <v>Average</v>
      </c>
      <c r="I17" s="29" t="s">
        <v>228</v>
      </c>
      <c r="J17" s="34">
        <f>_xlfn.MAXIFS(F:F,B:B,"Male")</f>
        <v>112780</v>
      </c>
      <c r="K17" s="34">
        <f>_xlfn.MAXIFS(F:F,B:B,"Female")</f>
        <v>109160</v>
      </c>
      <c r="L17" s="34" t="str">
        <f>IFERROR(AVERAGEIF(B:B,"Other",F:F),"NA")</f>
        <v>NA</v>
      </c>
    </row>
    <row r="18" spans="1:15" x14ac:dyDescent="0.25">
      <c r="A18" s="27" t="str">
        <v>Hoyt D'Alesco</v>
      </c>
      <c r="B18" s="27" t="str">
        <v>Male</v>
      </c>
      <c r="C18" s="27" t="str">
        <v>Sales</v>
      </c>
      <c r="D18" s="27">
        <v>32</v>
      </c>
      <c r="E18" s="28">
        <v>44465</v>
      </c>
      <c r="F18" s="27">
        <v>53540</v>
      </c>
      <c r="G18" s="27" t="str">
        <v>Average</v>
      </c>
      <c r="I18" s="29" t="s">
        <v>229</v>
      </c>
      <c r="J18" s="34">
        <f>_xlfn.MINIFS(F:F,B:B,"Male")</f>
        <v>36040</v>
      </c>
      <c r="K18" s="34">
        <f>_xlfn.MINIFS(F:F,B:B,"Female")</f>
        <v>49630</v>
      </c>
      <c r="L18" s="34" t="str">
        <f>IFERROR(AVERAGEIF(B:B,"Other",F:F),"NA")</f>
        <v>NA</v>
      </c>
    </row>
    <row r="19" spans="1:15" x14ac:dyDescent="0.25">
      <c r="A19" s="35"/>
      <c r="B19" s="27"/>
      <c r="C19" s="27"/>
      <c r="D19" s="27"/>
      <c r="E19" s="28"/>
      <c r="F19" s="27"/>
      <c r="G19" s="27"/>
    </row>
    <row r="20" spans="1:15" x14ac:dyDescent="0.25">
      <c r="A20" s="35"/>
      <c r="B20" s="27"/>
      <c r="C20" s="27"/>
      <c r="D20" s="27"/>
      <c r="E20" s="28"/>
      <c r="F20" s="27"/>
      <c r="G20" s="27"/>
      <c r="J20" s="33" t="s">
        <v>265</v>
      </c>
    </row>
    <row r="21" spans="1:15" x14ac:dyDescent="0.25">
      <c r="A21" s="35"/>
      <c r="B21" s="27"/>
      <c r="C21" s="27"/>
      <c r="D21" s="27"/>
      <c r="E21" s="28"/>
      <c r="F21" s="27"/>
      <c r="G21" s="27"/>
      <c r="J21" s="29" t="s">
        <v>10</v>
      </c>
      <c r="K21" s="29" t="s">
        <v>16</v>
      </c>
      <c r="L21" s="29" t="s">
        <v>13</v>
      </c>
      <c r="M21" s="29" t="s">
        <v>24</v>
      </c>
      <c r="N21" s="29" t="s">
        <v>42</v>
      </c>
      <c r="O21" s="29" t="s">
        <v>252</v>
      </c>
    </row>
    <row r="22" spans="1:15" x14ac:dyDescent="0.25">
      <c r="B22" s="27"/>
      <c r="C22" s="27"/>
      <c r="D22" s="27"/>
      <c r="E22" s="28"/>
      <c r="F22" s="27"/>
      <c r="G22" s="27"/>
      <c r="I22" s="36" t="s">
        <v>15</v>
      </c>
      <c r="J22" s="27">
        <f>COUNTIFS($B:$B,$I$22,$G:$G,J$21)</f>
        <v>0</v>
      </c>
      <c r="K22" s="27">
        <f>COUNTIFS($B:$B,$I$22,$G:$G,K$21)</f>
        <v>6</v>
      </c>
      <c r="L22" s="27">
        <f>COUNTIFS($B:$B,$I$22,$G:$G,L$21)</f>
        <v>2</v>
      </c>
      <c r="M22" s="27">
        <f>COUNTIFS($B:$B,$I$22,$G:$G,M$21)</f>
        <v>0</v>
      </c>
      <c r="N22" s="27">
        <f>COUNTIFS($B:$B,$I$22,$G:$G,N$21)</f>
        <v>1</v>
      </c>
      <c r="O22" s="29">
        <f>SUM(J22:N22)</f>
        <v>9</v>
      </c>
    </row>
    <row r="23" spans="1:15" x14ac:dyDescent="0.25">
      <c r="B23" s="27"/>
      <c r="C23" s="27"/>
      <c r="D23" s="27"/>
      <c r="E23" s="28"/>
      <c r="F23" s="27"/>
      <c r="G23" s="27"/>
      <c r="I23" s="36" t="s">
        <v>8</v>
      </c>
      <c r="J23" s="27">
        <f>COUNTIFS($B:$B,$I$23,$G:$G,J$21)</f>
        <v>1</v>
      </c>
      <c r="K23" s="27">
        <f>COUNTIFS($B:$B,$I$23,$G:$G,K$21)</f>
        <v>4</v>
      </c>
      <c r="L23" s="27">
        <f>COUNTIFS($B:$B,$I$23,$G:$G,L$21)</f>
        <v>1</v>
      </c>
      <c r="M23" s="27">
        <f>COUNTIFS($B:$B,$I$23,$G:$G,M$21)</f>
        <v>2</v>
      </c>
      <c r="N23" s="27">
        <f>COUNTIFS($B:$B,$I$23,$G:$G,N$21)</f>
        <v>0</v>
      </c>
      <c r="O23" s="29">
        <f>SUM(J23:N23)</f>
        <v>8</v>
      </c>
    </row>
    <row r="24" spans="1:15" x14ac:dyDescent="0.25">
      <c r="B24" s="27"/>
      <c r="C24" s="27"/>
      <c r="D24" s="27"/>
      <c r="E24" s="28"/>
      <c r="F24" s="27"/>
      <c r="G24" s="27"/>
      <c r="I24" s="36" t="s">
        <v>231</v>
      </c>
      <c r="J24" s="27">
        <f>COUNTIFS($B:$B,$I$24,$G:$G,J$21)</f>
        <v>0</v>
      </c>
      <c r="K24" s="27">
        <f>COUNTIFS($B:$B,$I$24,$G:$G,K$21)</f>
        <v>0</v>
      </c>
      <c r="L24" s="27">
        <f>COUNTIFS($B:$B,$I$24,$G:$G,L$21)</f>
        <v>0</v>
      </c>
      <c r="M24" s="27">
        <f>COUNTIFS($B:$B,$I$24,$G:$G,M$21)</f>
        <v>0</v>
      </c>
      <c r="N24" s="27">
        <f>COUNTIFS($B:$B,$I$24,$G:$G,N$21)</f>
        <v>0</v>
      </c>
      <c r="O24" s="29">
        <f>SUM(J24:N24)</f>
        <v>0</v>
      </c>
    </row>
    <row r="25" spans="1:15" x14ac:dyDescent="0.25">
      <c r="B25" s="27"/>
      <c r="C25" s="27"/>
      <c r="D25" s="27"/>
      <c r="E25" s="28"/>
      <c r="F25" s="27"/>
      <c r="G25" s="27"/>
      <c r="I25" s="29" t="s">
        <v>269</v>
      </c>
      <c r="J25" s="29">
        <f>SUM(J22:J24)</f>
        <v>1</v>
      </c>
      <c r="K25" s="29">
        <f t="shared" ref="K25:M25" si="1">SUM(K22:K24)</f>
        <v>10</v>
      </c>
      <c r="L25" s="29">
        <f t="shared" si="1"/>
        <v>3</v>
      </c>
      <c r="M25" s="29">
        <f t="shared" si="1"/>
        <v>2</v>
      </c>
      <c r="N25" s="29">
        <f>SUM(N22:N24)</f>
        <v>1</v>
      </c>
      <c r="O25" s="37">
        <f>SUM(J25:N25)</f>
        <v>17</v>
      </c>
    </row>
    <row r="26" spans="1:15" x14ac:dyDescent="0.25">
      <c r="B26" s="27"/>
      <c r="C26" s="27"/>
      <c r="D26" s="27"/>
      <c r="E26" s="28"/>
      <c r="F26" s="27"/>
      <c r="G26" s="27"/>
    </row>
    <row r="27" spans="1:15" x14ac:dyDescent="0.25">
      <c r="B27" s="27"/>
      <c r="C27" s="27"/>
      <c r="D27" s="27"/>
      <c r="E27" s="28"/>
      <c r="F27" s="27"/>
      <c r="G27" s="27"/>
      <c r="I27" s="29" t="s">
        <v>228</v>
      </c>
      <c r="J27" s="34">
        <f>_xlfn.MAXIFS($F:$F,$G:$G,J$21)</f>
        <v>109160</v>
      </c>
      <c r="K27" s="34">
        <f t="shared" ref="K27:N27" si="2">_xlfn.MAXIFS($F:$F,$G:$G,K$21)</f>
        <v>92700</v>
      </c>
      <c r="L27" s="34">
        <f t="shared" si="2"/>
        <v>112780</v>
      </c>
      <c r="M27" s="34">
        <f t="shared" si="2"/>
        <v>68900</v>
      </c>
      <c r="N27" s="34">
        <f t="shared" si="2"/>
        <v>43510</v>
      </c>
    </row>
    <row r="28" spans="1:15" x14ac:dyDescent="0.25">
      <c r="B28" s="27"/>
      <c r="C28" s="27"/>
      <c r="D28" s="27"/>
      <c r="E28" s="28"/>
      <c r="F28" s="27"/>
      <c r="G28" s="27"/>
      <c r="I28" s="29" t="s">
        <v>229</v>
      </c>
      <c r="J28" s="34">
        <f>_xlfn.MINIFS($F:$F,$G:$G,J$21)</f>
        <v>109160</v>
      </c>
      <c r="K28" s="34">
        <f t="shared" ref="K28:N28" si="3">_xlfn.MINIFS($F:$F,$G:$G,K$21)</f>
        <v>36040</v>
      </c>
      <c r="L28" s="34">
        <f t="shared" si="3"/>
        <v>56870</v>
      </c>
      <c r="M28" s="34">
        <f t="shared" si="3"/>
        <v>49630</v>
      </c>
      <c r="N28" s="34">
        <f t="shared" si="3"/>
        <v>43510</v>
      </c>
    </row>
    <row r="29" spans="1:15" x14ac:dyDescent="0.25">
      <c r="B29" s="27"/>
      <c r="C29" s="27"/>
      <c r="D29" s="27"/>
      <c r="E29" s="28"/>
      <c r="F29" s="27"/>
      <c r="G29" s="27"/>
      <c r="I29" s="29" t="s">
        <v>204</v>
      </c>
      <c r="J29" s="34">
        <f>IFERROR(AVERAGEIF($G:$G,J$21,$F:$F),"NA")</f>
        <v>109160</v>
      </c>
      <c r="K29" s="34">
        <f t="shared" ref="K29:N29" si="4">IFERROR(AVERAGEIF($G:$G,K$21,$F:$F),"NA")</f>
        <v>61606</v>
      </c>
      <c r="L29" s="34">
        <f t="shared" si="4"/>
        <v>94143.333333333328</v>
      </c>
      <c r="M29" s="34">
        <f t="shared" si="4"/>
        <v>59265</v>
      </c>
      <c r="N29" s="34">
        <f t="shared" si="4"/>
        <v>43510</v>
      </c>
    </row>
    <row r="30" spans="1:15" x14ac:dyDescent="0.25">
      <c r="B30" s="27"/>
      <c r="C30" s="27"/>
      <c r="D30" s="27"/>
      <c r="E30" s="28"/>
      <c r="F30" s="27"/>
      <c r="G30" s="27"/>
    </row>
    <row r="31" spans="1:15" x14ac:dyDescent="0.25">
      <c r="B31" s="27"/>
      <c r="C31" s="27"/>
      <c r="D31" s="27"/>
      <c r="E31" s="28"/>
      <c r="F31" s="27"/>
      <c r="G31" s="27"/>
    </row>
    <row r="32" spans="1:15" x14ac:dyDescent="0.25">
      <c r="B32" s="27"/>
      <c r="C32" s="27"/>
      <c r="D32" s="27"/>
      <c r="E32" s="28"/>
      <c r="F32" s="27"/>
      <c r="G32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BDCC-F1B6-4520-9094-FDB34DA40A95}">
  <dimension ref="A2:V23"/>
  <sheetViews>
    <sheetView topLeftCell="G1" zoomScale="97" workbookViewId="0">
      <selection activeCell="P16" sqref="P16"/>
    </sheetView>
  </sheetViews>
  <sheetFormatPr defaultRowHeight="14.4" x14ac:dyDescent="0.3"/>
  <cols>
    <col min="1" max="3" width="12.5546875" bestFit="1" customWidth="1"/>
    <col min="6" max="6" width="11.77734375" customWidth="1"/>
    <col min="7" max="7" width="13.21875" customWidth="1"/>
    <col min="8" max="8" width="17.6640625" customWidth="1"/>
    <col min="9" max="9" width="12.6640625" customWidth="1"/>
    <col min="10" max="10" width="18.21875" bestFit="1" customWidth="1"/>
    <col min="11" max="11" width="11.5546875" customWidth="1"/>
    <col min="14" max="14" width="30.88671875" bestFit="1" customWidth="1"/>
    <col min="15" max="16" width="9" bestFit="1" customWidth="1"/>
    <col min="17" max="17" width="6.5546875" customWidth="1"/>
    <col min="18" max="18" width="6.88671875" customWidth="1"/>
    <col min="19" max="19" width="12.33203125" bestFit="1" customWidth="1"/>
    <col min="20" max="20" width="13.6640625" customWidth="1"/>
  </cols>
  <sheetData>
    <row r="2" spans="1:22" x14ac:dyDescent="0.3">
      <c r="A2" t="s">
        <v>202</v>
      </c>
    </row>
    <row r="3" spans="1:22" x14ac:dyDescent="0.3">
      <c r="A3" t="s">
        <v>203</v>
      </c>
    </row>
    <row r="4" spans="1:22" x14ac:dyDescent="0.3">
      <c r="B4" t="s">
        <v>213</v>
      </c>
      <c r="H4" s="12" t="s">
        <v>218</v>
      </c>
      <c r="I4" s="10">
        <f>AVERAGE(Table2[Age])</f>
        <v>30.52</v>
      </c>
      <c r="J4" s="12" t="s">
        <v>0</v>
      </c>
      <c r="K4" s="12" t="s">
        <v>2</v>
      </c>
      <c r="N4" s="2" t="s">
        <v>227</v>
      </c>
    </row>
    <row r="5" spans="1:22" x14ac:dyDescent="0.3">
      <c r="B5" t="s">
        <v>204</v>
      </c>
      <c r="H5" s="12" t="s">
        <v>219</v>
      </c>
      <c r="I5" s="10">
        <f>MAX(Table2[Age])</f>
        <v>46</v>
      </c>
      <c r="J5" s="10" t="str">
        <f>_xlfn.XLOOKUP(I5,analysis_questions!E2:E101,analysis_questions!B2:B101,0,2)</f>
        <v>Ambros Murthwaite</v>
      </c>
      <c r="K5" s="10" t="str">
        <f>_xlfn.XLOOKUP(J5,analysis_questions!B2:B101,analysis_questions!D2:D101,"Not Found",0)</f>
        <v>Procurement</v>
      </c>
      <c r="N5" s="12" t="s">
        <v>228</v>
      </c>
      <c r="O5" s="14">
        <f>MAX(Table2[Salary])</f>
        <v>119110</v>
      </c>
      <c r="T5" s="2" t="s">
        <v>234</v>
      </c>
    </row>
    <row r="6" spans="1:22" x14ac:dyDescent="0.3">
      <c r="B6" t="s">
        <v>205</v>
      </c>
      <c r="H6" s="12" t="s">
        <v>220</v>
      </c>
      <c r="I6" s="10">
        <f>MIN(Table2[Age])</f>
        <v>19</v>
      </c>
      <c r="J6" s="10" t="str">
        <f>_xlfn.XLOOKUP(I6,analysis_questions!E2:E101,analysis_questions!B2:B101,0,2)</f>
        <v>Lilyan Klimpt</v>
      </c>
      <c r="K6" s="10" t="str">
        <f>_xlfn.XLOOKUP(J6,analysis_questions!B2:B101,analysis_questions!D2:D101,"Not Found",0)</f>
        <v>Procurement</v>
      </c>
      <c r="N6" s="12" t="s">
        <v>229</v>
      </c>
      <c r="O6" s="14">
        <f>MIN(Table2[Salary])</f>
        <v>33920</v>
      </c>
      <c r="T6" s="12" t="s">
        <v>204</v>
      </c>
      <c r="U6" s="12" t="s">
        <v>228</v>
      </c>
      <c r="V6" s="12" t="s">
        <v>229</v>
      </c>
    </row>
    <row r="7" spans="1:22" x14ac:dyDescent="0.3">
      <c r="B7" t="s">
        <v>206</v>
      </c>
      <c r="H7" s="12" t="s">
        <v>221</v>
      </c>
      <c r="I7" s="10">
        <f>MEDIAN(Table2[Age])</f>
        <v>30</v>
      </c>
      <c r="N7" s="12" t="s">
        <v>204</v>
      </c>
      <c r="O7" s="14">
        <f>AVERAGE(Table2[Salary])</f>
        <v>77472.100000000006</v>
      </c>
      <c r="S7" s="12" t="str" cm="1">
        <f t="array" ref="S7:S11">_xlfn.UNIQUE(Table2[Department])</f>
        <v>Sales</v>
      </c>
      <c r="T7" s="17">
        <f>AVERAGEIF(Table2[Department],S7,Table2[Salary])</f>
        <v>68805.294117647063</v>
      </c>
      <c r="U7" s="14">
        <f>_xlfn.MAXIFS(Table2[Salary],Table2[Department],S7)</f>
        <v>112780</v>
      </c>
      <c r="V7" s="14">
        <f>_xlfn.MINIFS(Table2[Salary],Table2[Department],S7)</f>
        <v>36040</v>
      </c>
    </row>
    <row r="8" spans="1:22" x14ac:dyDescent="0.3">
      <c r="B8" t="s">
        <v>207</v>
      </c>
      <c r="H8" s="12" t="s">
        <v>222</v>
      </c>
      <c r="I8" s="10">
        <f>COUNTA(Table2[Name])</f>
        <v>100</v>
      </c>
      <c r="N8" s="12" t="s">
        <v>230</v>
      </c>
      <c r="O8" s="14">
        <f>MEDIAN(Table2[Salary])</f>
        <v>74775</v>
      </c>
      <c r="S8" s="12" t="str">
        <v>Procurement</v>
      </c>
      <c r="T8" s="17">
        <f>AVERAGEIF(Table2[Department],S8,Table2[Salary])</f>
        <v>81850.645161290318</v>
      </c>
      <c r="U8" s="14">
        <f>_xlfn.MAXIFS(Table2[Salary],Table2[Department],S8)</f>
        <v>115920</v>
      </c>
      <c r="V8" s="14">
        <f>_xlfn.MINIFS(Table2[Salary],Table2[Department],S8)</f>
        <v>37920</v>
      </c>
    </row>
    <row r="9" spans="1:22" x14ac:dyDescent="0.3">
      <c r="B9" t="s">
        <v>216</v>
      </c>
      <c r="H9" s="12" t="s">
        <v>223</v>
      </c>
      <c r="I9" s="11">
        <f>COUNTA(_xlfn.ANCHORARRAY(I10))</f>
        <v>5</v>
      </c>
      <c r="O9" s="6"/>
      <c r="S9" s="12" t="str">
        <v>Finance</v>
      </c>
      <c r="T9" s="17">
        <f>AVERAGEIF(Table2[Department],S9,Table2[Salary])</f>
        <v>74621</v>
      </c>
      <c r="U9" s="14">
        <f>_xlfn.MAXIFS(Table2[Salary],Table2[Department],S9)</f>
        <v>115440</v>
      </c>
      <c r="V9" s="14">
        <f>_xlfn.MINIFS(Table2[Salary],Table2[Department],S9)</f>
        <v>48170</v>
      </c>
    </row>
    <row r="10" spans="1:22" x14ac:dyDescent="0.3">
      <c r="B10" t="s">
        <v>215</v>
      </c>
      <c r="H10" s="13" t="s">
        <v>224</v>
      </c>
      <c r="I10" s="12" t="str" cm="1">
        <f t="array" ref="I10:I14">_xlfn.UNIQUE(Table2[Department])</f>
        <v>Sales</v>
      </c>
      <c r="J10" s="10">
        <f>COUNTIF(Table2[Department],I10)</f>
        <v>17</v>
      </c>
      <c r="N10" s="2" t="s">
        <v>232</v>
      </c>
      <c r="S10" s="12" t="str">
        <v>Website</v>
      </c>
      <c r="T10" s="17">
        <f>AVERAGEIF(Table2[Department],S10,Table2[Salary])</f>
        <v>78183.21428571429</v>
      </c>
      <c r="U10" s="14">
        <f>_xlfn.MAXIFS(Table2[Salary],Table2[Department],S10)</f>
        <v>118840</v>
      </c>
      <c r="V10" s="14">
        <f>_xlfn.MINIFS(Table2[Salary],Table2[Department],S10)</f>
        <v>33920</v>
      </c>
    </row>
    <row r="11" spans="1:22" x14ac:dyDescent="0.3">
      <c r="B11" t="s">
        <v>217</v>
      </c>
      <c r="I11" s="12" t="str">
        <v>Procurement</v>
      </c>
      <c r="J11" s="10">
        <f>COUNTIF(Table2[Department],I11)</f>
        <v>31</v>
      </c>
      <c r="N11" s="12" t="s">
        <v>15</v>
      </c>
      <c r="O11" s="12" t="s">
        <v>8</v>
      </c>
      <c r="P11" s="12" t="s">
        <v>231</v>
      </c>
      <c r="S11" s="12" t="str">
        <v>HR</v>
      </c>
      <c r="T11" s="17">
        <f>AVERAGEIF(Table2[Department],S11,Table2[Salary])</f>
        <v>89650</v>
      </c>
      <c r="U11" s="14">
        <f>_xlfn.MAXIFS(Table2[Salary],Table2[Department],S11)</f>
        <v>119110</v>
      </c>
      <c r="V11" s="14">
        <f>_xlfn.MINIFS(Table2[Salary],Table2[Department],S11)</f>
        <v>45510</v>
      </c>
    </row>
    <row r="12" spans="1:22" x14ac:dyDescent="0.3">
      <c r="I12" s="12" t="str">
        <v>Finance</v>
      </c>
      <c r="J12" s="10">
        <f>COUNTIF(Table2[Department],I12)</f>
        <v>20</v>
      </c>
      <c r="M12" s="12" t="s">
        <v>204</v>
      </c>
      <c r="N12" s="14">
        <f>AVERAGEIF(Table2[Gender],N11,Table2[Salary])</f>
        <v>75010.408163265311</v>
      </c>
      <c r="O12" s="14">
        <f>AVERAGEIF(Table2[Gender],O11,Table2[Salary])</f>
        <v>78148.043478260865</v>
      </c>
      <c r="P12" s="14">
        <f>AVERAGEIF(Table2[Gender],P11,Table2[Salary])</f>
        <v>95378</v>
      </c>
    </row>
    <row r="13" spans="1:22" x14ac:dyDescent="0.3">
      <c r="I13" s="12" t="str">
        <v>Website</v>
      </c>
      <c r="J13" s="10">
        <f>COUNTIF(Table2[Department],I13)</f>
        <v>28</v>
      </c>
      <c r="M13" s="12" t="s">
        <v>228</v>
      </c>
      <c r="N13" s="14">
        <f>_xlfn.MAXIFS(Table2[Salary],Table2[Gender],N11)</f>
        <v>118840</v>
      </c>
      <c r="O13" s="14">
        <f>_xlfn.MAXIFS(Table2[Salary],Table2[Gender],O11)</f>
        <v>119110</v>
      </c>
      <c r="P13" s="14">
        <f>_xlfn.MAXIFS(Table2[Salary],Table2[Gender],P11)</f>
        <v>115440</v>
      </c>
    </row>
    <row r="14" spans="1:22" x14ac:dyDescent="0.3">
      <c r="I14" s="12" t="str">
        <v>HR</v>
      </c>
      <c r="J14" s="10">
        <f>COUNTIF(Table2[Department],I14)</f>
        <v>4</v>
      </c>
      <c r="M14" s="12" t="s">
        <v>229</v>
      </c>
      <c r="N14" s="14">
        <f>_xlfn.MINIFS(Table2[Salary],Table2[Gender],N11)</f>
        <v>36040</v>
      </c>
      <c r="O14" s="14">
        <f>_xlfn.MINIFS(Table2[Salary],Table2[Gender],O11)</f>
        <v>33920</v>
      </c>
      <c r="P14" s="14">
        <f>_xlfn.MINIFS(Table2[Salary],Table2[Gender],P11)</f>
        <v>64000</v>
      </c>
    </row>
    <row r="15" spans="1:22" s="9" customFormat="1" x14ac:dyDescent="0.3">
      <c r="H15"/>
      <c r="I15"/>
      <c r="J15"/>
      <c r="K15"/>
      <c r="M15"/>
      <c r="N15"/>
      <c r="O15"/>
      <c r="P15"/>
    </row>
    <row r="16" spans="1:22" x14ac:dyDescent="0.3">
      <c r="H16" s="2" t="s">
        <v>225</v>
      </c>
    </row>
    <row r="17" spans="5:16" x14ac:dyDescent="0.3">
      <c r="H17" s="12" t="str" cm="1">
        <f t="array" ref="H17:H21">_xlfn.UNIQUE(Table2[Rating])</f>
        <v>Above average</v>
      </c>
      <c r="I17" s="10">
        <f>COUNTIF(Table2[Rating],H17)</f>
        <v>12</v>
      </c>
      <c r="N17" s="2" t="s">
        <v>233</v>
      </c>
    </row>
    <row r="18" spans="5:16" x14ac:dyDescent="0.3">
      <c r="H18" s="12" t="str">
        <v>Average</v>
      </c>
      <c r="I18" s="10">
        <f>COUNTIF(Table2[Rating],H18)</f>
        <v>74</v>
      </c>
      <c r="N18" s="12" t="s">
        <v>204</v>
      </c>
      <c r="O18" s="12" t="s">
        <v>228</v>
      </c>
      <c r="P18" s="12" t="s">
        <v>229</v>
      </c>
    </row>
    <row r="19" spans="5:16" x14ac:dyDescent="0.3">
      <c r="E19" s="10"/>
      <c r="H19" s="12" t="str">
        <v>Poor</v>
      </c>
      <c r="I19" s="10">
        <f>COUNTIF(Table2[Rating],H19)</f>
        <v>9</v>
      </c>
      <c r="M19" s="12" t="str" cm="1">
        <f t="array" ref="M19:M23">_xlfn.UNIQUE(Table2[Rating])</f>
        <v>Above average</v>
      </c>
      <c r="N19" s="17">
        <f>AVERAGEIF(Table2[Rating],M19,Table2[Salary])</f>
        <v>76720</v>
      </c>
      <c r="O19" s="10">
        <f>_xlfn.MAXIFS(Table2[Salary],Table2[Rating],M19)</f>
        <v>112780</v>
      </c>
      <c r="P19" s="10">
        <f>_xlfn.MINIFS(Table2[Salary],Table2[Rating],M19)</f>
        <v>43840</v>
      </c>
    </row>
    <row r="20" spans="5:16" x14ac:dyDescent="0.3">
      <c r="H20" s="12" t="str">
        <v>Exceptional</v>
      </c>
      <c r="I20" s="10">
        <f>COUNTIF(Table2[Rating],H20)</f>
        <v>2</v>
      </c>
      <c r="M20" s="12" t="str">
        <v>Average</v>
      </c>
      <c r="N20" s="17">
        <f>AVERAGEIF(Table2[Rating],M20,Table2[Salary])</f>
        <v>76618.648648648654</v>
      </c>
      <c r="O20" s="10">
        <f>_xlfn.MAXIFS(Table2[Salary],Table2[Rating],M20)</f>
        <v>119110</v>
      </c>
      <c r="P20" s="10">
        <f>_xlfn.MINIFS(Table2[Salary],Table2[Rating],M20)</f>
        <v>33920</v>
      </c>
    </row>
    <row r="21" spans="5:16" x14ac:dyDescent="0.3">
      <c r="H21" s="12" t="str">
        <v>Very poor</v>
      </c>
      <c r="I21" s="10">
        <f>COUNTIF(Table2[Rating],H21)</f>
        <v>3</v>
      </c>
      <c r="M21" s="12" t="str">
        <v>Poor</v>
      </c>
      <c r="N21" s="17">
        <f>AVERAGEIF(Table2[Rating],M21,Table2[Salary])</f>
        <v>82262.222222222219</v>
      </c>
      <c r="O21" s="10">
        <f>_xlfn.MAXIFS(Table2[Salary],Table2[Rating],M21)</f>
        <v>115440</v>
      </c>
      <c r="P21" s="10">
        <f>_xlfn.MINIFS(Table2[Salary],Table2[Rating],M21)</f>
        <v>49630</v>
      </c>
    </row>
    <row r="22" spans="5:16" x14ac:dyDescent="0.3">
      <c r="H22" s="12" t="s">
        <v>226</v>
      </c>
      <c r="I22" s="10">
        <f>SUM(I17:I21)</f>
        <v>100</v>
      </c>
      <c r="M22" s="12" t="str">
        <v>Exceptional</v>
      </c>
      <c r="N22" s="17">
        <f>AVERAGEIF(Table2[Rating],M22,Table2[Salary])</f>
        <v>92080</v>
      </c>
      <c r="O22" s="10">
        <f>_xlfn.MAXIFS(Table2[Salary],Table2[Rating],M22)</f>
        <v>109160</v>
      </c>
      <c r="P22" s="10">
        <f>_xlfn.MINIFS(Table2[Salary],Table2[Rating],M22)</f>
        <v>75000</v>
      </c>
    </row>
    <row r="23" spans="5:16" x14ac:dyDescent="0.3">
      <c r="M23" s="12" t="str">
        <v>Very poor</v>
      </c>
      <c r="N23" s="17">
        <f>AVERAGEIF(Table2[Rating],M23,Table2[Salary])</f>
        <v>77423.333333333328</v>
      </c>
      <c r="O23" s="10">
        <f>_xlfn.MAXIFS(Table2[Salary],Table2[Rating],M23)</f>
        <v>113280</v>
      </c>
      <c r="P23" s="10">
        <f>_xlfn.MINIFS(Table2[Salary],Table2[Rating],M23)</f>
        <v>43510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8CFF-5B9C-4541-8A1C-7A7AAB2EBEDE}">
  <dimension ref="D3:V35"/>
  <sheetViews>
    <sheetView zoomScale="73" workbookViewId="0">
      <selection activeCell="I20" sqref="I20"/>
    </sheetView>
  </sheetViews>
  <sheetFormatPr defaultRowHeight="14.4" x14ac:dyDescent="0.3"/>
  <cols>
    <col min="4" max="4" width="13.109375" customWidth="1"/>
    <col min="5" max="5" width="12.5546875" bestFit="1" customWidth="1"/>
    <col min="6" max="6" width="13.109375" bestFit="1" customWidth="1"/>
    <col min="7" max="7" width="15.77734375" bestFit="1" customWidth="1"/>
    <col min="8" max="8" width="8.5546875" bestFit="1" customWidth="1"/>
    <col min="9" max="9" width="16.109375" bestFit="1" customWidth="1"/>
    <col min="10" max="10" width="17.88671875" customWidth="1"/>
    <col min="11" max="11" width="15.6640625" customWidth="1"/>
    <col min="12" max="12" width="15.88671875" customWidth="1"/>
    <col min="14" max="14" width="14.6640625" customWidth="1"/>
    <col min="15" max="15" width="14.5546875" bestFit="1" customWidth="1"/>
    <col min="16" max="16" width="11.5546875" customWidth="1"/>
    <col min="17" max="17" width="5.5546875" customWidth="1"/>
    <col min="18" max="18" width="12.109375" customWidth="1"/>
    <col min="19" max="19" width="13.88671875" bestFit="1" customWidth="1"/>
    <col min="21" max="21" width="8.33203125" customWidth="1"/>
  </cols>
  <sheetData>
    <row r="3" spans="4:22" x14ac:dyDescent="0.3">
      <c r="G3" t="s">
        <v>241</v>
      </c>
    </row>
    <row r="4" spans="4:22" x14ac:dyDescent="0.3">
      <c r="G4" t="s">
        <v>242</v>
      </c>
    </row>
    <row r="10" spans="4:22" x14ac:dyDescent="0.3">
      <c r="D10" s="10"/>
      <c r="E10" s="12" t="s">
        <v>238</v>
      </c>
      <c r="F10" s="10"/>
      <c r="G10" s="10"/>
      <c r="I10" s="12" t="s">
        <v>240</v>
      </c>
      <c r="J10" s="10"/>
      <c r="K10" s="10"/>
      <c r="L10" s="10"/>
      <c r="N10" s="12" t="s">
        <v>247</v>
      </c>
      <c r="O10" s="10"/>
      <c r="P10" s="10"/>
      <c r="R10" s="12" t="s">
        <v>250</v>
      </c>
      <c r="S10" s="10"/>
      <c r="T10" s="10"/>
      <c r="U10" s="10"/>
      <c r="V10" s="10"/>
    </row>
    <row r="11" spans="4:22" x14ac:dyDescent="0.3">
      <c r="D11" s="10"/>
      <c r="E11" s="12" t="s">
        <v>239</v>
      </c>
      <c r="F11" s="12" t="s">
        <v>219</v>
      </c>
      <c r="G11" s="12" t="s">
        <v>249</v>
      </c>
      <c r="I11" s="12" t="s">
        <v>245</v>
      </c>
      <c r="J11" s="12" t="s">
        <v>246</v>
      </c>
      <c r="K11" s="12" t="s">
        <v>231</v>
      </c>
      <c r="L11" s="12" t="s">
        <v>243</v>
      </c>
      <c r="N11" s="12" t="s">
        <v>204</v>
      </c>
      <c r="O11" s="12" t="s">
        <v>248</v>
      </c>
      <c r="P11" s="12" t="s">
        <v>229</v>
      </c>
      <c r="Q11" s="2"/>
      <c r="R11" s="12" t="s">
        <v>10</v>
      </c>
      <c r="S11" s="12" t="s">
        <v>251</v>
      </c>
      <c r="T11" s="12" t="s">
        <v>16</v>
      </c>
      <c r="U11" s="12" t="s">
        <v>24</v>
      </c>
      <c r="V11" s="12" t="s">
        <v>42</v>
      </c>
    </row>
    <row r="12" spans="4:22" x14ac:dyDescent="0.3">
      <c r="D12" s="12" t="str" cm="1">
        <f t="array" ref="D12:D16">_xlfn.UNIQUE(Table2[Department])</f>
        <v>Sales</v>
      </c>
      <c r="E12" s="43">
        <f>AVERAGEIF(Table2[Department],D12,Table2[Age])</f>
        <v>30.058823529411764</v>
      </c>
      <c r="F12" s="10">
        <f>_xlfn.MAXIFS(Table2[Age],Table2[Department],D12)</f>
        <v>43</v>
      </c>
      <c r="G12" s="10">
        <f>_xlfn.MINIFS(Table2[Age],Table2[Department],D12)</f>
        <v>20</v>
      </c>
      <c r="I12" s="10">
        <f>COUNTIFS(Table2[Department],D12,Table2[Gender],"Male")</f>
        <v>9</v>
      </c>
      <c r="J12" s="10">
        <f>COUNTIFS(Table2[Department],D12,Table2[Gender],"Female")</f>
        <v>8</v>
      </c>
      <c r="K12" s="10">
        <f>COUNTIFS(Table2[Department],D12,Table2[Gender],"Other")</f>
        <v>0</v>
      </c>
      <c r="L12" s="12">
        <f>COUNTIF(Table2[Department],D12)</f>
        <v>17</v>
      </c>
      <c r="N12" s="17">
        <f>AVERAGEIF(Table2[Department],D12,Table2[Salary])</f>
        <v>68805.294117647063</v>
      </c>
      <c r="O12" s="14">
        <f>_xlfn.MAXIFS(Table2[Salary],Table2[Department],D12)</f>
        <v>112780</v>
      </c>
      <c r="P12" s="17">
        <f>_xlfn.MINIFS(Table2[Salary],Table2[Department],D12)</f>
        <v>36040</v>
      </c>
      <c r="R12" s="10">
        <f>COUNTIFS(Table2[Department],D12,Table2[Rating],$R$11)</f>
        <v>1</v>
      </c>
      <c r="S12" s="10">
        <f>COUNTIFS(Table2[Department],D12,Table2[Rating],$S$11)</f>
        <v>3</v>
      </c>
      <c r="T12" s="10">
        <f>COUNTIFS(Table2[Department],D12,Table2[Rating],$T$11)</f>
        <v>10</v>
      </c>
      <c r="U12" s="10">
        <f>COUNTIFS(Table2[Department],D12,Table2[Rating],$U$11)</f>
        <v>2</v>
      </c>
      <c r="V12" s="10">
        <f>COUNTIFS(Table2[Department],D12,Table2[Rating],$V$11)</f>
        <v>1</v>
      </c>
    </row>
    <row r="13" spans="4:22" x14ac:dyDescent="0.3">
      <c r="D13" s="12" t="str">
        <v>Procurement</v>
      </c>
      <c r="E13" s="43">
        <f>AVERAGEIF(Table2[Department],D13,Table2[Age])</f>
        <v>30.35483870967742</v>
      </c>
      <c r="F13" s="10">
        <f>_xlfn.MAXIFS(Table2[Age],Table2[Department],D13)</f>
        <v>46</v>
      </c>
      <c r="G13" s="10">
        <f>_xlfn.MINIFS(Table2[Age],Table2[Department],D13)</f>
        <v>19</v>
      </c>
      <c r="I13" s="10">
        <f>COUNTIFS(Table2[Department],D13,Table2[Gender],"Male")</f>
        <v>20</v>
      </c>
      <c r="J13" s="10">
        <f>COUNTIFS(Table2[Department],D13,Table2[Gender],"Female")</f>
        <v>11</v>
      </c>
      <c r="K13" s="10">
        <f>COUNTIFS(Table2[Department],D13,Table2[Gender],"Other")</f>
        <v>0</v>
      </c>
      <c r="L13" s="12">
        <f>COUNTIF(Table2[Department],D13)</f>
        <v>31</v>
      </c>
      <c r="N13" s="17">
        <f>AVERAGEIF(Table2[Department],D13,Table2[Salary])</f>
        <v>81850.645161290318</v>
      </c>
      <c r="O13" s="14">
        <f>_xlfn.MAXIFS(Table2[Salary],Table2[Department],D13)</f>
        <v>115920</v>
      </c>
      <c r="P13" s="17">
        <f>_xlfn.MINIFS(Table2[Salary],Table2[Department],D13)</f>
        <v>37920</v>
      </c>
      <c r="R13" s="10">
        <f>COUNTIFS(Table2[Department],D13,Table2[Rating],$R$11)</f>
        <v>1</v>
      </c>
      <c r="S13" s="10">
        <f>COUNTIFS(Table2[Department],D13,Table2[Rating],$S$11)</f>
        <v>4</v>
      </c>
      <c r="T13" s="10">
        <f>COUNTIFS(Table2[Department],D13,Table2[Rating],$T$11)</f>
        <v>25</v>
      </c>
      <c r="U13" s="10">
        <f>COUNTIFS(Table2[Department],D13,Table2[Rating],$U$11)</f>
        <v>0</v>
      </c>
      <c r="V13" s="10">
        <f>COUNTIFS(Table2[Department],D13,Table2[Rating],$V$11)</f>
        <v>1</v>
      </c>
    </row>
    <row r="14" spans="4:22" x14ac:dyDescent="0.3">
      <c r="D14" s="12" t="str">
        <v>Finance</v>
      </c>
      <c r="E14" s="43">
        <f>AVERAGEIF(Table2[Department],D14,Table2[Age])</f>
        <v>31.6</v>
      </c>
      <c r="F14" s="10">
        <f>_xlfn.MAXIFS(Table2[Age],Table2[Department],D14)</f>
        <v>42</v>
      </c>
      <c r="G14" s="10">
        <f>_xlfn.MINIFS(Table2[Age],Table2[Department],D14)</f>
        <v>21</v>
      </c>
      <c r="I14" s="10">
        <f>COUNTIFS(Table2[Department],D14,Table2[Gender],"Male")</f>
        <v>8</v>
      </c>
      <c r="J14" s="10">
        <f>COUNTIFS(Table2[Department],D14,Table2[Gender],"Female")</f>
        <v>9</v>
      </c>
      <c r="K14" s="10">
        <f>COUNTIFS(Table2[Department],D14,Table2[Gender],"Other")</f>
        <v>3</v>
      </c>
      <c r="L14" s="12">
        <f>COUNTIF(Table2[Department],D14)</f>
        <v>20</v>
      </c>
      <c r="N14" s="17">
        <f>AVERAGEIF(Table2[Department],D14,Table2[Salary])</f>
        <v>74621</v>
      </c>
      <c r="O14" s="14">
        <f>_xlfn.MAXIFS(Table2[Salary],Table2[Department],D14)</f>
        <v>115440</v>
      </c>
      <c r="P14" s="17">
        <f>_xlfn.MINIFS(Table2[Salary],Table2[Department],D14)</f>
        <v>48170</v>
      </c>
      <c r="R14" s="10">
        <f>COUNTIFS(Table2[Department],D14,Table2[Rating],$R$11)</f>
        <v>0</v>
      </c>
      <c r="S14" s="10">
        <f>COUNTIFS(Table2[Department],D14,Table2[Rating],$S$11)</f>
        <v>2</v>
      </c>
      <c r="T14" s="10">
        <f>COUNTIFS(Table2[Department],D14,Table2[Rating],$T$11)</f>
        <v>13</v>
      </c>
      <c r="U14" s="10">
        <f>COUNTIFS(Table2[Department],D14,Table2[Rating],$U$11)</f>
        <v>5</v>
      </c>
      <c r="V14" s="10">
        <f>COUNTIFS(Table2[Department],D14,Table2[Rating],$V$11)</f>
        <v>0</v>
      </c>
    </row>
    <row r="15" spans="4:22" x14ac:dyDescent="0.3">
      <c r="D15" s="12" t="str">
        <v>Website</v>
      </c>
      <c r="E15" s="43">
        <f>AVERAGEIF(Table2[Department],D15,Table2[Age])</f>
        <v>30.392857142857142</v>
      </c>
      <c r="F15" s="10">
        <f>_xlfn.MAXIFS(Table2[Age],Table2[Department],D15)</f>
        <v>43</v>
      </c>
      <c r="G15" s="10">
        <f>_xlfn.MINIFS(Table2[Age],Table2[Department],D15)</f>
        <v>20</v>
      </c>
      <c r="I15" s="10">
        <f>COUNTIFS(Table2[Department],D15,Table2[Gender],"Male")</f>
        <v>11</v>
      </c>
      <c r="J15" s="10">
        <f>COUNTIFS(Table2[Department],D15,Table2[Gender],"Female")</f>
        <v>15</v>
      </c>
      <c r="K15" s="10">
        <f>COUNTIFS(Table2[Department],D15,Table2[Gender],"Other")</f>
        <v>2</v>
      </c>
      <c r="L15" s="12">
        <f>COUNTIF(Table2[Department],D15)</f>
        <v>28</v>
      </c>
      <c r="N15" s="17">
        <f>AVERAGEIF(Table2[Department],D15,Table2[Salary])</f>
        <v>78183.21428571429</v>
      </c>
      <c r="O15" s="14">
        <f>_xlfn.MAXIFS(Table2[Salary],Table2[Department],D15)</f>
        <v>118840</v>
      </c>
      <c r="P15" s="17">
        <f>_xlfn.MINIFS(Table2[Salary],Table2[Department],D15)</f>
        <v>33920</v>
      </c>
      <c r="R15" s="10">
        <f>COUNTIFS(Table2[Department],D15,Table2[Rating],$R$11)</f>
        <v>0</v>
      </c>
      <c r="S15" s="10">
        <f>COUNTIFS(Table2[Department],D15,Table2[Rating],$S$11)</f>
        <v>3</v>
      </c>
      <c r="T15" s="10">
        <f>COUNTIFS(Table2[Department],D15,Table2[Rating],$T$11)</f>
        <v>22</v>
      </c>
      <c r="U15" s="10">
        <f>COUNTIFS(Table2[Department],D15,Table2[Rating],$U$11)</f>
        <v>2</v>
      </c>
      <c r="V15" s="10">
        <f>COUNTIFS(Table2[Department],D15,Table2[Rating],$V$11)</f>
        <v>1</v>
      </c>
    </row>
    <row r="16" spans="4:22" x14ac:dyDescent="0.3">
      <c r="D16" s="12" t="str">
        <v>HR</v>
      </c>
      <c r="E16" s="43">
        <f>AVERAGEIF(Table2[Department],D16,Table2[Age])</f>
        <v>29.25</v>
      </c>
      <c r="F16" s="10">
        <f>_xlfn.MAXIFS(Table2[Age],Table2[Department],D16)</f>
        <v>37</v>
      </c>
      <c r="G16" s="10">
        <f>_xlfn.MINIFS(Table2[Age],Table2[Department],D16)</f>
        <v>21</v>
      </c>
      <c r="I16" s="10">
        <f>COUNTIFS(Table2[Department],D16,Table2[Gender],"Male")</f>
        <v>1</v>
      </c>
      <c r="J16" s="10">
        <f>COUNTIFS(Table2[Department],D16,Table2[Gender],"Female")</f>
        <v>3</v>
      </c>
      <c r="K16" s="10">
        <f>COUNTIFS(Table2[Department],D16,Table2[Gender],"Other")</f>
        <v>0</v>
      </c>
      <c r="L16" s="12">
        <f>COUNTIF(Table2[Department],D16)</f>
        <v>4</v>
      </c>
      <c r="N16" s="17">
        <f>AVERAGEIF(Table2[Department],D16,Table2[Salary])</f>
        <v>89650</v>
      </c>
      <c r="O16" s="14">
        <f>_xlfn.MAXIFS(Table2[Salary],Table2[Department],D16)</f>
        <v>119110</v>
      </c>
      <c r="P16" s="17">
        <f>_xlfn.MINIFS(Table2[Salary],Table2[Department],D16)</f>
        <v>45510</v>
      </c>
      <c r="R16" s="10">
        <f>COUNTIFS(Table2[Department],D16,Table2[Rating],$R$11)</f>
        <v>0</v>
      </c>
      <c r="S16" s="10">
        <f>COUNTIFS(Table2[Department],D16,Table2[Rating],$S$11)</f>
        <v>0</v>
      </c>
      <c r="T16" s="10">
        <f>COUNTIFS(Table2[Department],D16,Table2[Rating],$T$11)</f>
        <v>4</v>
      </c>
      <c r="U16" s="10">
        <f>COUNTIFS(Table2[Department],D16,Table2[Rating],$U$11)</f>
        <v>0</v>
      </c>
      <c r="V16" s="10">
        <f>COUNTIFS(Table2[Department],D16,Table2[Rating],$V$11)</f>
        <v>0</v>
      </c>
    </row>
    <row r="17" spans="6:22" x14ac:dyDescent="0.3">
      <c r="H17" s="2" t="s">
        <v>244</v>
      </c>
      <c r="I17" s="12">
        <f>SUM(I12:I16)</f>
        <v>49</v>
      </c>
      <c r="J17" s="12">
        <f t="shared" ref="J17:L17" si="0">SUM(J12:J16)</f>
        <v>46</v>
      </c>
      <c r="K17" s="12">
        <f t="shared" si="0"/>
        <v>5</v>
      </c>
      <c r="L17" s="12">
        <f t="shared" si="0"/>
        <v>100</v>
      </c>
      <c r="Q17" s="2" t="s">
        <v>252</v>
      </c>
      <c r="R17" s="10">
        <f>SUM(R12:R16)</f>
        <v>2</v>
      </c>
      <c r="S17" s="10">
        <f t="shared" ref="S17:V17" si="1">SUM(S12:S16)</f>
        <v>12</v>
      </c>
      <c r="T17" s="10">
        <f t="shared" si="1"/>
        <v>74</v>
      </c>
      <c r="U17" s="10">
        <f t="shared" si="1"/>
        <v>9</v>
      </c>
      <c r="V17" s="10">
        <f t="shared" si="1"/>
        <v>3</v>
      </c>
    </row>
    <row r="19" spans="6:22" x14ac:dyDescent="0.3">
      <c r="H19" s="10"/>
      <c r="I19" s="12" t="s">
        <v>258</v>
      </c>
      <c r="J19" s="12" t="s">
        <v>259</v>
      </c>
      <c r="K19" s="12" t="s">
        <v>260</v>
      </c>
      <c r="L19" s="12" t="s">
        <v>261</v>
      </c>
    </row>
    <row r="20" spans="6:22" x14ac:dyDescent="0.3">
      <c r="H20" s="12" t="str" cm="1">
        <f t="array" ref="H20:H24">_xlfn.UNIQUE(Table2[Department])</f>
        <v>Sales</v>
      </c>
      <c r="I20" s="14">
        <f>_xlfn.MAXIFS(Table2[Salary],Table2[Department],$H20,Table2[Gender],"Male")</f>
        <v>112780</v>
      </c>
      <c r="J20" s="14">
        <f>_xlfn.MAXIFS(Table2[Salary],Table2[Department],H20,Table2[Gender],"Female")</f>
        <v>109160</v>
      </c>
      <c r="K20" s="14">
        <f>_xlfn.MINIFS(Table2[Salary],Table2[Department],$H20,Table2[Gender],"Male")</f>
        <v>36040</v>
      </c>
      <c r="L20" s="14">
        <f>_xlfn.MINIFS(Table2[Salary],Table2[Department],$H20,Table2[Gender],"Female")</f>
        <v>49630</v>
      </c>
    </row>
    <row r="21" spans="6:22" x14ac:dyDescent="0.3">
      <c r="H21" s="12" t="str">
        <v>Procurement</v>
      </c>
      <c r="I21" s="14">
        <f>_xlfn.MAXIFS(Table2[Salary],Table2[Department],$H21,Table2[Gender],"Male")</f>
        <v>115920</v>
      </c>
      <c r="J21" s="14">
        <f>_xlfn.MAXIFS(Table2[Salary],Table2[Department],H21,Table2[Gender],"Female")</f>
        <v>114890</v>
      </c>
      <c r="K21" s="14">
        <f>_xlfn.MINIFS(Table2[Salary],Table2[Department],$H21,Table2[Gender],"Male")</f>
        <v>37920</v>
      </c>
      <c r="L21" s="14">
        <f>_xlfn.MINIFS(Table2[Salary],Table2[Department],$H21,Table2[Gender],"Female")</f>
        <v>41570</v>
      </c>
    </row>
    <row r="22" spans="6:22" x14ac:dyDescent="0.3">
      <c r="H22" s="12" t="str">
        <v>Finance</v>
      </c>
      <c r="I22" s="14">
        <f>_xlfn.MAXIFS(Table2[Salary],Table2[Department],$H22,Table2[Gender],"Male")</f>
        <v>96800</v>
      </c>
      <c r="J22" s="14">
        <f>_xlfn.MAXIFS(Table2[Salary],Table2[Department],H22,Table2[Gender],"Female")</f>
        <v>92450</v>
      </c>
      <c r="K22" s="14">
        <f>_xlfn.MINIFS(Table2[Salary],Table2[Department],$H22,Table2[Gender],"Male")</f>
        <v>48170</v>
      </c>
      <c r="L22" s="14">
        <f>_xlfn.MINIFS(Table2[Salary],Table2[Department],$H22,Table2[Gender],"Female")</f>
        <v>58940</v>
      </c>
    </row>
    <row r="23" spans="6:22" x14ac:dyDescent="0.3">
      <c r="H23" s="12" t="str">
        <v>Website</v>
      </c>
      <c r="I23" s="14">
        <f>_xlfn.MAXIFS(Table2[Salary],Table2[Department],$H23,Table2[Gender],"Male")</f>
        <v>118840</v>
      </c>
      <c r="J23" s="14">
        <f>_xlfn.MAXIFS(Table2[Salary],Table2[Department],H23,Table2[Gender],"Female")</f>
        <v>114870</v>
      </c>
      <c r="K23" s="14">
        <f>_xlfn.MINIFS(Table2[Salary],Table2[Department],$H23,Table2[Gender],"Male")</f>
        <v>48950</v>
      </c>
      <c r="L23" s="14">
        <f>_xlfn.MINIFS(Table2[Salary],Table2[Department],$H23,Table2[Gender],"Female")</f>
        <v>33920</v>
      </c>
      <c r="O23" s="10" t="s">
        <v>243</v>
      </c>
      <c r="P23" s="10">
        <f>COUNTIF(Table2[Department],[0]!department_value)</f>
        <v>17</v>
      </c>
    </row>
    <row r="24" spans="6:22" x14ac:dyDescent="0.3">
      <c r="H24" s="12" t="str">
        <v>HR</v>
      </c>
      <c r="I24" s="14">
        <f>_xlfn.MAXIFS(Table2[Salary],Table2[Department],$H24,Table2[Gender],"Male")</f>
        <v>75880</v>
      </c>
      <c r="J24" s="14">
        <f>_xlfn.MAXIFS(Table2[Salary],Table2[Department],H24,Table2[Gender],"Female")</f>
        <v>119110</v>
      </c>
      <c r="K24" s="14">
        <f>_xlfn.MINIFS(Table2[Salary],Table2[Department],$H24,Table2[Gender],"Male")</f>
        <v>75880</v>
      </c>
      <c r="L24" s="14">
        <f>_xlfn.MINIFS(Table2[Salary],Table2[Department],$H24,Table2[Gender],"Female")</f>
        <v>45510</v>
      </c>
      <c r="O24" s="10" t="s">
        <v>204</v>
      </c>
      <c r="P24" s="17">
        <f>AVERAGEIFS(Table2[Salary],Table2[Department],department_value)</f>
        <v>68805.294117647063</v>
      </c>
    </row>
    <row r="25" spans="6:22" x14ac:dyDescent="0.3">
      <c r="O25" s="10" t="s">
        <v>239</v>
      </c>
      <c r="P25" s="43">
        <f>AVERAGEIF(Table2[Department],department_value,Table2[Age])</f>
        <v>30.058823529411764</v>
      </c>
    </row>
    <row r="29" spans="6:22" x14ac:dyDescent="0.3">
      <c r="F29" s="20" t="s">
        <v>264</v>
      </c>
      <c r="G29" t="s">
        <v>263</v>
      </c>
    </row>
    <row r="30" spans="6:22" x14ac:dyDescent="0.3">
      <c r="F30" s="21" t="s">
        <v>13</v>
      </c>
      <c r="G30" s="6">
        <v>76720</v>
      </c>
    </row>
    <row r="31" spans="6:22" x14ac:dyDescent="0.3">
      <c r="F31" s="21" t="s">
        <v>16</v>
      </c>
      <c r="G31" s="6">
        <v>76618.648648648654</v>
      </c>
    </row>
    <row r="32" spans="6:22" x14ac:dyDescent="0.3">
      <c r="F32" s="21" t="s">
        <v>10</v>
      </c>
      <c r="G32" s="6">
        <v>92080</v>
      </c>
    </row>
    <row r="33" spans="6:7" x14ac:dyDescent="0.3">
      <c r="F33" s="21" t="s">
        <v>24</v>
      </c>
      <c r="G33" s="6">
        <v>82262.222222222219</v>
      </c>
    </row>
    <row r="34" spans="6:7" x14ac:dyDescent="0.3">
      <c r="F34" s="21" t="s">
        <v>42</v>
      </c>
      <c r="G34" s="6">
        <v>77423.333333333328</v>
      </c>
    </row>
    <row r="35" spans="6:7" x14ac:dyDescent="0.3">
      <c r="F35" s="21" t="s">
        <v>262</v>
      </c>
      <c r="G35" s="6">
        <v>77472.100000000006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2EC4-DDE2-4CB7-AC70-5AB590F93835}">
  <dimension ref="B2:H114"/>
  <sheetViews>
    <sheetView zoomScale="85" zoomScaleNormal="85" workbookViewId="0">
      <selection activeCell="G5" sqref="G5"/>
    </sheetView>
  </sheetViews>
  <sheetFormatPr defaultRowHeight="14.4" x14ac:dyDescent="0.3"/>
  <cols>
    <col min="1" max="1" width="7.88671875" customWidth="1"/>
    <col min="2" max="2" width="9.44140625" customWidth="1"/>
    <col min="3" max="3" width="13.21875" customWidth="1"/>
    <col min="4" max="5" width="9.44140625" customWidth="1"/>
    <col min="6" max="6" width="17.21875" style="8" customWidth="1"/>
    <col min="7" max="7" width="9.44140625" customWidth="1"/>
    <col min="8" max="8" width="11" style="6" bestFit="1" customWidth="1"/>
  </cols>
  <sheetData>
    <row r="2" spans="2:8" s="2" customFormat="1" x14ac:dyDescent="0.3">
      <c r="B2" s="3" t="s">
        <v>0</v>
      </c>
      <c r="C2" s="3" t="s">
        <v>1</v>
      </c>
      <c r="D2" s="3" t="s">
        <v>3</v>
      </c>
      <c r="E2" s="3" t="s">
        <v>6</v>
      </c>
      <c r="F2" s="7" t="s">
        <v>4</v>
      </c>
      <c r="G2" s="3" t="s">
        <v>2</v>
      </c>
      <c r="H2" s="5" t="s">
        <v>5</v>
      </c>
    </row>
    <row r="3" spans="2:8" x14ac:dyDescent="0.3">
      <c r="B3" t="s">
        <v>155</v>
      </c>
      <c r="C3" t="s">
        <v>15</v>
      </c>
      <c r="D3">
        <v>20</v>
      </c>
      <c r="E3" t="s">
        <v>16</v>
      </c>
      <c r="F3" s="8">
        <v>44122</v>
      </c>
      <c r="G3" t="s">
        <v>12</v>
      </c>
      <c r="H3" s="6">
        <v>112650</v>
      </c>
    </row>
    <row r="4" spans="2:8" x14ac:dyDescent="0.3">
      <c r="B4" t="s">
        <v>175</v>
      </c>
      <c r="C4" t="s">
        <v>8</v>
      </c>
      <c r="D4">
        <v>32</v>
      </c>
      <c r="E4" t="s">
        <v>13</v>
      </c>
      <c r="F4" s="8">
        <v>44293</v>
      </c>
      <c r="G4" t="s">
        <v>12</v>
      </c>
      <c r="H4" s="6">
        <v>43840</v>
      </c>
    </row>
    <row r="5" spans="2:8" x14ac:dyDescent="0.3">
      <c r="B5" t="s">
        <v>142</v>
      </c>
      <c r="C5" t="s">
        <v>15</v>
      </c>
      <c r="D5">
        <v>31</v>
      </c>
      <c r="E5" t="s">
        <v>16</v>
      </c>
      <c r="F5" s="8">
        <v>44663</v>
      </c>
      <c r="G5" t="s">
        <v>9</v>
      </c>
      <c r="H5" s="6">
        <v>103550</v>
      </c>
    </row>
    <row r="6" spans="2:8" x14ac:dyDescent="0.3">
      <c r="B6" t="s">
        <v>200</v>
      </c>
      <c r="C6" t="s">
        <v>8</v>
      </c>
      <c r="D6">
        <v>32</v>
      </c>
      <c r="E6" t="s">
        <v>16</v>
      </c>
      <c r="F6" s="8">
        <v>44339</v>
      </c>
      <c r="G6" t="s">
        <v>56</v>
      </c>
      <c r="H6" s="6">
        <v>45510</v>
      </c>
    </row>
    <row r="7" spans="2:8" x14ac:dyDescent="0.3">
      <c r="B7" t="s">
        <v>141</v>
      </c>
      <c r="D7">
        <v>37</v>
      </c>
      <c r="E7" t="s">
        <v>24</v>
      </c>
      <c r="F7" s="8">
        <v>44085</v>
      </c>
      <c r="G7" t="s">
        <v>21</v>
      </c>
      <c r="H7" s="6">
        <v>115440</v>
      </c>
    </row>
    <row r="8" spans="2:8" x14ac:dyDescent="0.3">
      <c r="B8" t="s">
        <v>201</v>
      </c>
      <c r="C8" t="s">
        <v>8</v>
      </c>
      <c r="D8">
        <v>38</v>
      </c>
      <c r="E8" t="s">
        <v>13</v>
      </c>
      <c r="F8" s="8">
        <v>44268</v>
      </c>
      <c r="G8" t="s">
        <v>19</v>
      </c>
      <c r="H8" s="6">
        <v>56870</v>
      </c>
    </row>
    <row r="9" spans="2:8" x14ac:dyDescent="0.3">
      <c r="B9" t="s">
        <v>168</v>
      </c>
      <c r="C9" t="s">
        <v>8</v>
      </c>
      <c r="D9">
        <v>25</v>
      </c>
      <c r="E9" t="s">
        <v>16</v>
      </c>
      <c r="F9" s="8">
        <v>44144</v>
      </c>
      <c r="G9" t="s">
        <v>19</v>
      </c>
      <c r="H9" s="6">
        <v>92700</v>
      </c>
    </row>
    <row r="10" spans="2:8" x14ac:dyDescent="0.3">
      <c r="B10" t="s">
        <v>144</v>
      </c>
      <c r="D10">
        <v>32</v>
      </c>
      <c r="E10" t="s">
        <v>16</v>
      </c>
      <c r="F10" s="8">
        <v>44713</v>
      </c>
      <c r="G10" t="s">
        <v>12</v>
      </c>
      <c r="H10" s="6">
        <v>91310</v>
      </c>
    </row>
    <row r="11" spans="2:8" x14ac:dyDescent="0.3">
      <c r="B11" t="s">
        <v>114</v>
      </c>
      <c r="C11" t="s">
        <v>15</v>
      </c>
      <c r="D11">
        <v>33</v>
      </c>
      <c r="E11" t="s">
        <v>16</v>
      </c>
      <c r="F11" s="8">
        <v>44324</v>
      </c>
      <c r="G11" t="s">
        <v>19</v>
      </c>
      <c r="H11" s="6">
        <v>74550</v>
      </c>
    </row>
    <row r="12" spans="2:8" x14ac:dyDescent="0.3">
      <c r="B12" t="s">
        <v>127</v>
      </c>
      <c r="C12" t="s">
        <v>15</v>
      </c>
      <c r="D12">
        <v>25</v>
      </c>
      <c r="E12" t="s">
        <v>13</v>
      </c>
      <c r="F12" s="8">
        <v>44665</v>
      </c>
      <c r="G12" t="s">
        <v>9</v>
      </c>
      <c r="H12" s="6">
        <v>109190</v>
      </c>
    </row>
    <row r="13" spans="2:8" x14ac:dyDescent="0.3">
      <c r="B13" t="s">
        <v>193</v>
      </c>
      <c r="C13" t="s">
        <v>8</v>
      </c>
      <c r="D13">
        <v>40</v>
      </c>
      <c r="E13" t="s">
        <v>16</v>
      </c>
      <c r="F13" s="8">
        <v>44320</v>
      </c>
      <c r="G13" t="s">
        <v>12</v>
      </c>
      <c r="H13" s="6">
        <v>104410</v>
      </c>
    </row>
    <row r="14" spans="2:8" x14ac:dyDescent="0.3">
      <c r="B14" t="s">
        <v>176</v>
      </c>
      <c r="C14" t="s">
        <v>15</v>
      </c>
      <c r="D14">
        <v>30</v>
      </c>
      <c r="E14" t="s">
        <v>16</v>
      </c>
      <c r="F14" s="8">
        <v>44544</v>
      </c>
      <c r="G14" t="s">
        <v>21</v>
      </c>
      <c r="H14" s="6">
        <v>96800</v>
      </c>
    </row>
    <row r="15" spans="2:8" x14ac:dyDescent="0.3">
      <c r="B15" t="s">
        <v>122</v>
      </c>
      <c r="C15" t="s">
        <v>15</v>
      </c>
      <c r="D15">
        <v>28</v>
      </c>
      <c r="E15" t="s">
        <v>13</v>
      </c>
      <c r="F15" s="8">
        <v>43980</v>
      </c>
      <c r="G15" t="s">
        <v>21</v>
      </c>
      <c r="H15" s="6">
        <v>48170</v>
      </c>
    </row>
    <row r="16" spans="2:8" x14ac:dyDescent="0.3">
      <c r="B16" t="s">
        <v>139</v>
      </c>
      <c r="C16" t="s">
        <v>15</v>
      </c>
      <c r="D16">
        <v>21</v>
      </c>
      <c r="E16" t="s">
        <v>16</v>
      </c>
      <c r="F16" s="8">
        <v>44042</v>
      </c>
      <c r="G16" t="s">
        <v>9</v>
      </c>
      <c r="H16" s="6">
        <v>37920</v>
      </c>
    </row>
    <row r="17" spans="2:8" x14ac:dyDescent="0.3">
      <c r="B17" t="s">
        <v>177</v>
      </c>
      <c r="C17" t="s">
        <v>15</v>
      </c>
      <c r="D17">
        <v>34</v>
      </c>
      <c r="E17" t="s">
        <v>16</v>
      </c>
      <c r="F17" s="8">
        <v>44642</v>
      </c>
      <c r="G17" t="s">
        <v>9</v>
      </c>
      <c r="H17" s="6">
        <v>112650</v>
      </c>
    </row>
    <row r="18" spans="2:8" x14ac:dyDescent="0.3">
      <c r="B18" t="s">
        <v>164</v>
      </c>
      <c r="C18" t="s">
        <v>8</v>
      </c>
      <c r="D18">
        <v>34</v>
      </c>
      <c r="E18" t="s">
        <v>24</v>
      </c>
      <c r="F18" s="8">
        <v>44660</v>
      </c>
      <c r="G18" t="s">
        <v>19</v>
      </c>
      <c r="H18" s="6">
        <v>49630</v>
      </c>
    </row>
    <row r="19" spans="2:8" x14ac:dyDescent="0.3">
      <c r="B19" t="s">
        <v>198</v>
      </c>
      <c r="C19" t="s">
        <v>15</v>
      </c>
      <c r="D19">
        <v>36</v>
      </c>
      <c r="E19" t="s">
        <v>16</v>
      </c>
      <c r="F19" s="8">
        <v>43958</v>
      </c>
      <c r="G19" t="s">
        <v>12</v>
      </c>
      <c r="H19" s="6">
        <v>118840</v>
      </c>
    </row>
    <row r="20" spans="2:8" x14ac:dyDescent="0.3">
      <c r="B20" t="s">
        <v>158</v>
      </c>
      <c r="C20" t="s">
        <v>15</v>
      </c>
      <c r="D20">
        <v>30</v>
      </c>
      <c r="E20" t="s">
        <v>16</v>
      </c>
      <c r="F20" s="8">
        <v>44789</v>
      </c>
      <c r="G20" t="s">
        <v>12</v>
      </c>
      <c r="H20" s="6">
        <v>69710</v>
      </c>
    </row>
    <row r="21" spans="2:8" x14ac:dyDescent="0.3">
      <c r="B21" t="s">
        <v>196</v>
      </c>
      <c r="C21" t="s">
        <v>15</v>
      </c>
      <c r="D21">
        <v>20</v>
      </c>
      <c r="E21" t="s">
        <v>16</v>
      </c>
      <c r="F21" s="8">
        <v>44683</v>
      </c>
      <c r="G21" t="s">
        <v>9</v>
      </c>
      <c r="H21" s="6">
        <v>79570</v>
      </c>
    </row>
    <row r="22" spans="2:8" x14ac:dyDescent="0.3">
      <c r="B22" t="s">
        <v>153</v>
      </c>
      <c r="C22" t="s">
        <v>8</v>
      </c>
      <c r="D22">
        <v>22</v>
      </c>
      <c r="E22" t="s">
        <v>13</v>
      </c>
      <c r="F22" s="8">
        <v>44388</v>
      </c>
      <c r="G22" t="s">
        <v>9</v>
      </c>
      <c r="H22" s="6">
        <v>76900</v>
      </c>
    </row>
    <row r="23" spans="2:8" x14ac:dyDescent="0.3">
      <c r="B23" t="s">
        <v>181</v>
      </c>
      <c r="C23" t="s">
        <v>15</v>
      </c>
      <c r="D23">
        <v>27</v>
      </c>
      <c r="E23" t="s">
        <v>16</v>
      </c>
      <c r="F23" s="8">
        <v>44073</v>
      </c>
      <c r="G23" t="s">
        <v>19</v>
      </c>
      <c r="H23" s="6">
        <v>54970</v>
      </c>
    </row>
    <row r="24" spans="2:8" x14ac:dyDescent="0.3">
      <c r="B24" t="s">
        <v>117</v>
      </c>
      <c r="C24" t="s">
        <v>15</v>
      </c>
      <c r="D24">
        <v>37</v>
      </c>
      <c r="E24" t="s">
        <v>24</v>
      </c>
      <c r="F24" s="8">
        <v>44277</v>
      </c>
      <c r="G24" t="s">
        <v>12</v>
      </c>
      <c r="H24" s="6">
        <v>88050</v>
      </c>
    </row>
    <row r="25" spans="2:8" x14ac:dyDescent="0.3">
      <c r="B25" t="s">
        <v>191</v>
      </c>
      <c r="C25" t="s">
        <v>15</v>
      </c>
      <c r="D25">
        <v>43</v>
      </c>
      <c r="E25" t="s">
        <v>16</v>
      </c>
      <c r="F25" s="8">
        <v>44558</v>
      </c>
      <c r="G25" t="s">
        <v>19</v>
      </c>
      <c r="H25" s="6">
        <v>36040</v>
      </c>
    </row>
    <row r="26" spans="2:8" x14ac:dyDescent="0.3">
      <c r="B26" t="s">
        <v>110</v>
      </c>
      <c r="C26" t="s">
        <v>8</v>
      </c>
      <c r="D26">
        <v>42</v>
      </c>
      <c r="E26" t="s">
        <v>10</v>
      </c>
      <c r="F26" s="8">
        <v>44718</v>
      </c>
      <c r="G26" t="s">
        <v>9</v>
      </c>
      <c r="H26" s="6">
        <v>75000</v>
      </c>
    </row>
    <row r="27" spans="2:8" x14ac:dyDescent="0.3">
      <c r="B27" t="s">
        <v>148</v>
      </c>
      <c r="C27" t="s">
        <v>15</v>
      </c>
      <c r="D27">
        <v>35</v>
      </c>
      <c r="E27" t="s">
        <v>16</v>
      </c>
      <c r="F27" s="8">
        <v>44666</v>
      </c>
      <c r="G27" t="s">
        <v>9</v>
      </c>
      <c r="H27" s="6">
        <v>40400</v>
      </c>
    </row>
    <row r="28" spans="2:8" x14ac:dyDescent="0.3">
      <c r="B28" t="s">
        <v>195</v>
      </c>
      <c r="C28" t="s">
        <v>15</v>
      </c>
      <c r="D28">
        <v>24</v>
      </c>
      <c r="E28" t="s">
        <v>16</v>
      </c>
      <c r="F28" s="8">
        <v>44625</v>
      </c>
      <c r="G28" t="s">
        <v>12</v>
      </c>
      <c r="H28" s="6">
        <v>100420</v>
      </c>
    </row>
    <row r="29" spans="2:8" x14ac:dyDescent="0.3">
      <c r="B29" t="s">
        <v>119</v>
      </c>
      <c r="C29" t="s">
        <v>8</v>
      </c>
      <c r="D29">
        <v>31</v>
      </c>
      <c r="E29" t="s">
        <v>16</v>
      </c>
      <c r="F29" s="8">
        <v>44604</v>
      </c>
      <c r="G29" t="s">
        <v>12</v>
      </c>
      <c r="H29" s="6">
        <v>58100</v>
      </c>
    </row>
    <row r="30" spans="2:8" x14ac:dyDescent="0.3">
      <c r="B30" t="s">
        <v>113</v>
      </c>
      <c r="C30" t="s">
        <v>8</v>
      </c>
      <c r="D30">
        <v>44</v>
      </c>
      <c r="E30" t="s">
        <v>16</v>
      </c>
      <c r="F30" s="8">
        <v>44985</v>
      </c>
      <c r="G30" t="s">
        <v>12</v>
      </c>
      <c r="H30" s="6">
        <v>114870</v>
      </c>
    </row>
    <row r="31" spans="2:8" x14ac:dyDescent="0.3">
      <c r="B31" t="s">
        <v>157</v>
      </c>
      <c r="C31" t="s">
        <v>8</v>
      </c>
      <c r="D31">
        <v>32</v>
      </c>
      <c r="E31" t="s">
        <v>16</v>
      </c>
      <c r="F31" s="8">
        <v>44549</v>
      </c>
      <c r="G31" t="s">
        <v>9</v>
      </c>
      <c r="H31" s="6">
        <v>41570</v>
      </c>
    </row>
    <row r="32" spans="2:8" x14ac:dyDescent="0.3">
      <c r="B32" t="s">
        <v>172</v>
      </c>
      <c r="C32" t="s">
        <v>8</v>
      </c>
      <c r="D32">
        <v>30</v>
      </c>
      <c r="E32" t="s">
        <v>16</v>
      </c>
      <c r="F32" s="8">
        <v>44800</v>
      </c>
      <c r="G32" t="s">
        <v>9</v>
      </c>
      <c r="H32" s="6">
        <v>112570</v>
      </c>
    </row>
    <row r="33" spans="2:8" x14ac:dyDescent="0.3">
      <c r="B33" t="s">
        <v>150</v>
      </c>
      <c r="C33" t="s">
        <v>15</v>
      </c>
      <c r="D33">
        <v>26</v>
      </c>
      <c r="E33" t="s">
        <v>16</v>
      </c>
      <c r="F33" s="8">
        <v>44164</v>
      </c>
      <c r="G33" t="s">
        <v>9</v>
      </c>
      <c r="H33" s="6">
        <v>47360</v>
      </c>
    </row>
    <row r="34" spans="2:8" x14ac:dyDescent="0.3">
      <c r="B34" t="s">
        <v>125</v>
      </c>
      <c r="C34" t="s">
        <v>8</v>
      </c>
      <c r="D34">
        <v>21</v>
      </c>
      <c r="E34" t="s">
        <v>16</v>
      </c>
      <c r="F34" s="8">
        <v>44256</v>
      </c>
      <c r="G34" t="s">
        <v>21</v>
      </c>
      <c r="H34" s="6">
        <v>65920</v>
      </c>
    </row>
    <row r="35" spans="2:8" x14ac:dyDescent="0.3">
      <c r="B35" t="s">
        <v>199</v>
      </c>
      <c r="C35" t="s">
        <v>8</v>
      </c>
      <c r="D35">
        <v>28</v>
      </c>
      <c r="E35" t="s">
        <v>16</v>
      </c>
      <c r="F35" s="8">
        <v>44571</v>
      </c>
      <c r="G35" t="s">
        <v>9</v>
      </c>
      <c r="H35" s="6">
        <v>99970</v>
      </c>
    </row>
    <row r="36" spans="2:8" x14ac:dyDescent="0.3">
      <c r="B36" t="s">
        <v>132</v>
      </c>
      <c r="C36" t="s">
        <v>8</v>
      </c>
      <c r="D36">
        <v>25</v>
      </c>
      <c r="E36" t="s">
        <v>13</v>
      </c>
      <c r="F36" s="8">
        <v>44633</v>
      </c>
      <c r="G36" t="s">
        <v>12</v>
      </c>
      <c r="H36" s="6">
        <v>80700</v>
      </c>
    </row>
    <row r="37" spans="2:8" x14ac:dyDescent="0.3">
      <c r="B37" t="s">
        <v>154</v>
      </c>
      <c r="C37" t="s">
        <v>15</v>
      </c>
      <c r="D37">
        <v>24</v>
      </c>
      <c r="E37" t="s">
        <v>24</v>
      </c>
      <c r="F37" s="8">
        <v>44375</v>
      </c>
      <c r="G37" t="s">
        <v>21</v>
      </c>
      <c r="H37" s="6">
        <v>52610</v>
      </c>
    </row>
    <row r="38" spans="2:8" x14ac:dyDescent="0.3">
      <c r="B38" t="s">
        <v>179</v>
      </c>
      <c r="C38" t="s">
        <v>15</v>
      </c>
      <c r="D38">
        <v>29</v>
      </c>
      <c r="E38" t="s">
        <v>24</v>
      </c>
      <c r="F38" s="8">
        <v>44119</v>
      </c>
      <c r="G38" t="s">
        <v>12</v>
      </c>
      <c r="H38" s="6">
        <v>112110</v>
      </c>
    </row>
    <row r="39" spans="2:8" x14ac:dyDescent="0.3">
      <c r="B39" t="s">
        <v>151</v>
      </c>
      <c r="C39" t="s">
        <v>8</v>
      </c>
      <c r="D39">
        <v>27</v>
      </c>
      <c r="E39" t="s">
        <v>16</v>
      </c>
      <c r="F39" s="8">
        <v>44061</v>
      </c>
      <c r="G39" t="s">
        <v>56</v>
      </c>
      <c r="H39" s="6">
        <v>119110</v>
      </c>
    </row>
    <row r="40" spans="2:8" x14ac:dyDescent="0.3">
      <c r="B40" t="s">
        <v>149</v>
      </c>
      <c r="C40" t="s">
        <v>15</v>
      </c>
      <c r="D40">
        <v>22</v>
      </c>
      <c r="E40" t="s">
        <v>13</v>
      </c>
      <c r="F40" s="8">
        <v>44384</v>
      </c>
      <c r="G40" t="s">
        <v>19</v>
      </c>
      <c r="H40" s="6">
        <v>112780</v>
      </c>
    </row>
    <row r="41" spans="2:8" x14ac:dyDescent="0.3">
      <c r="B41" t="s">
        <v>174</v>
      </c>
      <c r="C41" t="s">
        <v>8</v>
      </c>
      <c r="D41">
        <v>36</v>
      </c>
      <c r="E41" t="s">
        <v>16</v>
      </c>
      <c r="F41" s="8">
        <v>44023</v>
      </c>
      <c r="G41" t="s">
        <v>9</v>
      </c>
      <c r="H41" s="6">
        <v>114890</v>
      </c>
    </row>
    <row r="42" spans="2:8" x14ac:dyDescent="0.3">
      <c r="B42" t="s">
        <v>145</v>
      </c>
      <c r="C42" t="s">
        <v>15</v>
      </c>
      <c r="D42">
        <v>27</v>
      </c>
      <c r="E42" t="s">
        <v>16</v>
      </c>
      <c r="F42" s="8">
        <v>44506</v>
      </c>
      <c r="G42" t="s">
        <v>21</v>
      </c>
      <c r="H42" s="6">
        <v>48980</v>
      </c>
    </row>
    <row r="43" spans="2:8" x14ac:dyDescent="0.3">
      <c r="B43" t="s">
        <v>169</v>
      </c>
      <c r="C43" t="s">
        <v>15</v>
      </c>
      <c r="D43">
        <v>21</v>
      </c>
      <c r="E43" t="s">
        <v>16</v>
      </c>
      <c r="F43" s="8">
        <v>44180</v>
      </c>
      <c r="G43" t="s">
        <v>56</v>
      </c>
      <c r="H43" s="6">
        <v>75880</v>
      </c>
    </row>
    <row r="44" spans="2:8" x14ac:dyDescent="0.3">
      <c r="B44" t="s">
        <v>166</v>
      </c>
      <c r="C44" t="s">
        <v>8</v>
      </c>
      <c r="D44">
        <v>28</v>
      </c>
      <c r="E44" t="s">
        <v>16</v>
      </c>
      <c r="F44" s="8">
        <v>44296</v>
      </c>
      <c r="G44" t="s">
        <v>19</v>
      </c>
      <c r="H44" s="6">
        <v>53240</v>
      </c>
    </row>
    <row r="45" spans="2:8" x14ac:dyDescent="0.3">
      <c r="B45" t="s">
        <v>121</v>
      </c>
      <c r="C45" t="s">
        <v>8</v>
      </c>
      <c r="D45">
        <v>34</v>
      </c>
      <c r="E45" t="s">
        <v>16</v>
      </c>
      <c r="F45" s="8">
        <v>44397</v>
      </c>
      <c r="G45" t="s">
        <v>21</v>
      </c>
      <c r="H45" s="6">
        <v>85000</v>
      </c>
    </row>
    <row r="46" spans="2:8" x14ac:dyDescent="0.3">
      <c r="B46" t="s">
        <v>178</v>
      </c>
      <c r="C46" t="s">
        <v>8</v>
      </c>
      <c r="D46">
        <v>21</v>
      </c>
      <c r="E46" t="s">
        <v>16</v>
      </c>
      <c r="F46" s="8">
        <v>44619</v>
      </c>
      <c r="G46" t="s">
        <v>12</v>
      </c>
      <c r="H46" s="6">
        <v>33920</v>
      </c>
    </row>
    <row r="47" spans="2:8" x14ac:dyDescent="0.3">
      <c r="B47" t="s">
        <v>187</v>
      </c>
      <c r="C47" t="s">
        <v>8</v>
      </c>
      <c r="D47">
        <v>33</v>
      </c>
      <c r="E47" t="s">
        <v>16</v>
      </c>
      <c r="F47" s="8">
        <v>44253</v>
      </c>
      <c r="G47" t="s">
        <v>12</v>
      </c>
      <c r="H47" s="6">
        <v>75280</v>
      </c>
    </row>
    <row r="48" spans="2:8" x14ac:dyDescent="0.3">
      <c r="B48" t="s">
        <v>129</v>
      </c>
      <c r="C48" t="s">
        <v>8</v>
      </c>
      <c r="D48">
        <v>34</v>
      </c>
      <c r="E48" t="s">
        <v>16</v>
      </c>
      <c r="F48" s="8">
        <v>44594</v>
      </c>
      <c r="G48" t="s">
        <v>21</v>
      </c>
      <c r="H48" s="6">
        <v>58940</v>
      </c>
    </row>
    <row r="49" spans="2:8" x14ac:dyDescent="0.3">
      <c r="B49" t="s">
        <v>135</v>
      </c>
      <c r="C49" t="s">
        <v>8</v>
      </c>
      <c r="D49">
        <v>28</v>
      </c>
      <c r="E49" t="s">
        <v>16</v>
      </c>
      <c r="F49" s="8">
        <v>44425</v>
      </c>
      <c r="G49" t="s">
        <v>9</v>
      </c>
      <c r="H49" s="6">
        <v>104770</v>
      </c>
    </row>
    <row r="50" spans="2:8" x14ac:dyDescent="0.3">
      <c r="B50" t="s">
        <v>124</v>
      </c>
      <c r="C50" t="s">
        <v>15</v>
      </c>
      <c r="D50">
        <v>21</v>
      </c>
      <c r="E50" t="s">
        <v>16</v>
      </c>
      <c r="F50" s="8">
        <v>44701</v>
      </c>
      <c r="G50" t="s">
        <v>9</v>
      </c>
      <c r="H50" s="6">
        <v>57090</v>
      </c>
    </row>
    <row r="51" spans="2:8" x14ac:dyDescent="0.3">
      <c r="B51" t="s">
        <v>159</v>
      </c>
      <c r="C51" t="s">
        <v>15</v>
      </c>
      <c r="D51">
        <v>27</v>
      </c>
      <c r="E51" t="s">
        <v>13</v>
      </c>
      <c r="F51" s="8">
        <v>44174</v>
      </c>
      <c r="G51" t="s">
        <v>21</v>
      </c>
      <c r="H51" s="6">
        <v>91650</v>
      </c>
    </row>
    <row r="52" spans="2:8" x14ac:dyDescent="0.3">
      <c r="B52" t="s">
        <v>182</v>
      </c>
      <c r="C52" t="s">
        <v>15</v>
      </c>
      <c r="D52">
        <v>42</v>
      </c>
      <c r="E52" t="s">
        <v>24</v>
      </c>
      <c r="F52" s="8">
        <v>44670</v>
      </c>
      <c r="G52" t="s">
        <v>21</v>
      </c>
      <c r="H52" s="6">
        <v>70270</v>
      </c>
    </row>
    <row r="53" spans="2:8" x14ac:dyDescent="0.3">
      <c r="B53" t="s">
        <v>128</v>
      </c>
      <c r="C53" t="s">
        <v>8</v>
      </c>
      <c r="D53">
        <v>28</v>
      </c>
      <c r="E53" t="s">
        <v>16</v>
      </c>
      <c r="F53" s="8">
        <v>44124</v>
      </c>
      <c r="G53" t="s">
        <v>21</v>
      </c>
      <c r="H53" s="6">
        <v>75970</v>
      </c>
    </row>
    <row r="54" spans="2:8" x14ac:dyDescent="0.3">
      <c r="B54" t="s">
        <v>111</v>
      </c>
      <c r="D54">
        <v>27</v>
      </c>
      <c r="E54" t="s">
        <v>13</v>
      </c>
      <c r="F54" s="8">
        <v>44212</v>
      </c>
      <c r="G54" t="s">
        <v>12</v>
      </c>
      <c r="H54" s="6">
        <v>90700</v>
      </c>
    </row>
    <row r="55" spans="2:8" x14ac:dyDescent="0.3">
      <c r="B55" t="s">
        <v>130</v>
      </c>
      <c r="C55" t="s">
        <v>15</v>
      </c>
      <c r="D55">
        <v>30</v>
      </c>
      <c r="E55" t="s">
        <v>16</v>
      </c>
      <c r="F55" s="8">
        <v>44607</v>
      </c>
      <c r="G55" t="s">
        <v>9</v>
      </c>
      <c r="H55" s="6">
        <v>60570</v>
      </c>
    </row>
    <row r="56" spans="2:8" x14ac:dyDescent="0.3">
      <c r="B56" t="s">
        <v>133</v>
      </c>
      <c r="C56" t="s">
        <v>15</v>
      </c>
      <c r="D56">
        <v>33</v>
      </c>
      <c r="E56" t="s">
        <v>16</v>
      </c>
      <c r="F56" s="8">
        <v>44103</v>
      </c>
      <c r="G56" t="s">
        <v>9</v>
      </c>
      <c r="H56" s="6">
        <v>115920</v>
      </c>
    </row>
    <row r="57" spans="2:8" x14ac:dyDescent="0.3">
      <c r="B57" t="s">
        <v>185</v>
      </c>
      <c r="C57" t="s">
        <v>8</v>
      </c>
      <c r="D57">
        <v>33</v>
      </c>
      <c r="E57" t="s">
        <v>16</v>
      </c>
      <c r="F57" s="8">
        <v>44006</v>
      </c>
      <c r="G57" t="s">
        <v>21</v>
      </c>
      <c r="H57" s="6">
        <v>65360</v>
      </c>
    </row>
    <row r="58" spans="2:8" x14ac:dyDescent="0.3">
      <c r="B58" t="s">
        <v>115</v>
      </c>
      <c r="D58">
        <v>30</v>
      </c>
      <c r="E58" t="s">
        <v>16</v>
      </c>
      <c r="F58" s="8">
        <v>44535</v>
      </c>
      <c r="G58" t="s">
        <v>21</v>
      </c>
      <c r="H58" s="6">
        <v>64000</v>
      </c>
    </row>
    <row r="59" spans="2:8" x14ac:dyDescent="0.3">
      <c r="B59" t="s">
        <v>194</v>
      </c>
      <c r="C59" t="s">
        <v>8</v>
      </c>
      <c r="D59">
        <v>34</v>
      </c>
      <c r="E59" t="s">
        <v>16</v>
      </c>
      <c r="F59" s="8">
        <v>44383</v>
      </c>
      <c r="G59" t="s">
        <v>21</v>
      </c>
      <c r="H59" s="6">
        <v>92450</v>
      </c>
    </row>
    <row r="60" spans="2:8" x14ac:dyDescent="0.3">
      <c r="B60" t="s">
        <v>112</v>
      </c>
      <c r="C60" t="s">
        <v>15</v>
      </c>
      <c r="D60">
        <v>31</v>
      </c>
      <c r="E60" t="s">
        <v>16</v>
      </c>
      <c r="F60" s="8">
        <v>44450</v>
      </c>
      <c r="G60" t="s">
        <v>12</v>
      </c>
      <c r="H60" s="6">
        <v>48950</v>
      </c>
    </row>
    <row r="61" spans="2:8" x14ac:dyDescent="0.3">
      <c r="B61" t="s">
        <v>184</v>
      </c>
      <c r="C61" t="s">
        <v>8</v>
      </c>
      <c r="D61">
        <v>27</v>
      </c>
      <c r="E61" t="s">
        <v>16</v>
      </c>
      <c r="F61" s="8">
        <v>44625</v>
      </c>
      <c r="G61" t="s">
        <v>12</v>
      </c>
      <c r="H61" s="6">
        <v>83750</v>
      </c>
    </row>
    <row r="62" spans="2:8" x14ac:dyDescent="0.3">
      <c r="B62" t="s">
        <v>165</v>
      </c>
      <c r="C62" t="s">
        <v>8</v>
      </c>
      <c r="D62">
        <v>40</v>
      </c>
      <c r="E62" t="s">
        <v>16</v>
      </c>
      <c r="F62" s="8">
        <v>44276</v>
      </c>
      <c r="G62" t="s">
        <v>12</v>
      </c>
      <c r="H62" s="6">
        <v>87620</v>
      </c>
    </row>
    <row r="63" spans="2:8" x14ac:dyDescent="0.3">
      <c r="B63" t="s">
        <v>183</v>
      </c>
      <c r="C63" t="s">
        <v>8</v>
      </c>
      <c r="D63">
        <v>20</v>
      </c>
      <c r="E63" t="s">
        <v>24</v>
      </c>
      <c r="F63" s="8">
        <v>44476</v>
      </c>
      <c r="G63" t="s">
        <v>19</v>
      </c>
      <c r="H63" s="6">
        <v>68900</v>
      </c>
    </row>
    <row r="64" spans="2:8" x14ac:dyDescent="0.3">
      <c r="B64" t="s">
        <v>156</v>
      </c>
      <c r="C64" t="s">
        <v>15</v>
      </c>
      <c r="D64">
        <v>32</v>
      </c>
      <c r="E64" t="s">
        <v>16</v>
      </c>
      <c r="F64" s="8">
        <v>44403</v>
      </c>
      <c r="G64" t="s">
        <v>19</v>
      </c>
      <c r="H64" s="6">
        <v>53540</v>
      </c>
    </row>
    <row r="65" spans="2:8" x14ac:dyDescent="0.3">
      <c r="B65" t="s">
        <v>171</v>
      </c>
      <c r="C65" t="s">
        <v>15</v>
      </c>
      <c r="D65">
        <v>28</v>
      </c>
      <c r="E65" t="s">
        <v>42</v>
      </c>
      <c r="F65" s="8">
        <v>44758</v>
      </c>
      <c r="G65" t="s">
        <v>19</v>
      </c>
      <c r="H65" s="6">
        <v>43510</v>
      </c>
    </row>
    <row r="66" spans="2:8" x14ac:dyDescent="0.3">
      <c r="B66" t="s">
        <v>126</v>
      </c>
      <c r="C66" t="s">
        <v>8</v>
      </c>
      <c r="D66">
        <v>38</v>
      </c>
      <c r="E66" t="s">
        <v>10</v>
      </c>
      <c r="F66" s="8">
        <v>44316</v>
      </c>
      <c r="G66" t="s">
        <v>19</v>
      </c>
      <c r="H66" s="6">
        <v>109160</v>
      </c>
    </row>
    <row r="67" spans="2:8" x14ac:dyDescent="0.3">
      <c r="B67" t="s">
        <v>197</v>
      </c>
      <c r="C67" t="s">
        <v>15</v>
      </c>
      <c r="D67">
        <v>40</v>
      </c>
      <c r="E67" t="s">
        <v>16</v>
      </c>
      <c r="F67" s="8">
        <v>44204</v>
      </c>
      <c r="G67" t="s">
        <v>9</v>
      </c>
      <c r="H67" s="6">
        <v>99750</v>
      </c>
    </row>
    <row r="68" spans="2:8" x14ac:dyDescent="0.3">
      <c r="B68" t="s">
        <v>123</v>
      </c>
      <c r="C68" t="s">
        <v>8</v>
      </c>
      <c r="D68">
        <v>31</v>
      </c>
      <c r="E68" t="s">
        <v>16</v>
      </c>
      <c r="F68" s="8">
        <v>44084</v>
      </c>
      <c r="G68" t="s">
        <v>12</v>
      </c>
      <c r="H68" s="6">
        <v>41980</v>
      </c>
    </row>
    <row r="69" spans="2:8" x14ac:dyDescent="0.3">
      <c r="B69" t="s">
        <v>186</v>
      </c>
      <c r="C69" t="s">
        <v>15</v>
      </c>
      <c r="D69">
        <v>36</v>
      </c>
      <c r="E69" t="s">
        <v>16</v>
      </c>
      <c r="F69" s="8">
        <v>44272</v>
      </c>
      <c r="G69" t="s">
        <v>21</v>
      </c>
      <c r="H69" s="6">
        <v>71380</v>
      </c>
    </row>
    <row r="70" spans="2:8" x14ac:dyDescent="0.3">
      <c r="B70" t="s">
        <v>190</v>
      </c>
      <c r="C70" t="s">
        <v>15</v>
      </c>
      <c r="D70">
        <v>27</v>
      </c>
      <c r="E70" t="s">
        <v>42</v>
      </c>
      <c r="F70" s="8">
        <v>44547</v>
      </c>
      <c r="G70" t="s">
        <v>9</v>
      </c>
      <c r="H70" s="6">
        <v>113280</v>
      </c>
    </row>
    <row r="71" spans="2:8" x14ac:dyDescent="0.3">
      <c r="B71" t="s">
        <v>180</v>
      </c>
      <c r="C71" t="s">
        <v>8</v>
      </c>
      <c r="D71">
        <v>33</v>
      </c>
      <c r="E71" t="s">
        <v>16</v>
      </c>
      <c r="F71" s="8">
        <v>44747</v>
      </c>
      <c r="G71" t="s">
        <v>21</v>
      </c>
      <c r="H71" s="6">
        <v>86570</v>
      </c>
    </row>
    <row r="72" spans="2:8" x14ac:dyDescent="0.3">
      <c r="B72" t="s">
        <v>138</v>
      </c>
      <c r="C72" t="s">
        <v>15</v>
      </c>
      <c r="D72">
        <v>26</v>
      </c>
      <c r="E72" t="s">
        <v>16</v>
      </c>
      <c r="F72" s="8">
        <v>44350</v>
      </c>
      <c r="G72" t="s">
        <v>9</v>
      </c>
      <c r="H72" s="6">
        <v>53540</v>
      </c>
    </row>
    <row r="73" spans="2:8" x14ac:dyDescent="0.3">
      <c r="B73" t="s">
        <v>189</v>
      </c>
      <c r="C73" t="s">
        <v>15</v>
      </c>
      <c r="D73">
        <v>37</v>
      </c>
      <c r="E73" t="s">
        <v>16</v>
      </c>
      <c r="F73" s="8">
        <v>44640</v>
      </c>
      <c r="G73" t="s">
        <v>12</v>
      </c>
      <c r="H73" s="6">
        <v>69070</v>
      </c>
    </row>
    <row r="74" spans="2:8" x14ac:dyDescent="0.3">
      <c r="B74" t="s">
        <v>120</v>
      </c>
      <c r="C74" t="s">
        <v>8</v>
      </c>
      <c r="D74">
        <v>30</v>
      </c>
      <c r="E74" t="s">
        <v>24</v>
      </c>
      <c r="F74" s="8">
        <v>44328</v>
      </c>
      <c r="G74" t="s">
        <v>21</v>
      </c>
      <c r="H74" s="6">
        <v>67910</v>
      </c>
    </row>
    <row r="75" spans="2:8" x14ac:dyDescent="0.3">
      <c r="B75" t="s">
        <v>118</v>
      </c>
      <c r="C75" t="s">
        <v>15</v>
      </c>
      <c r="D75">
        <v>30</v>
      </c>
      <c r="E75" t="s">
        <v>16</v>
      </c>
      <c r="F75" s="8">
        <v>44214</v>
      </c>
      <c r="G75" t="s">
        <v>12</v>
      </c>
      <c r="H75" s="6">
        <v>69120</v>
      </c>
    </row>
    <row r="76" spans="2:8" x14ac:dyDescent="0.3">
      <c r="B76" t="s">
        <v>131</v>
      </c>
      <c r="C76" t="s">
        <v>8</v>
      </c>
      <c r="D76">
        <v>34</v>
      </c>
      <c r="E76" t="s">
        <v>16</v>
      </c>
      <c r="F76" s="8">
        <v>44550</v>
      </c>
      <c r="G76" t="s">
        <v>21</v>
      </c>
      <c r="H76" s="6">
        <v>60130</v>
      </c>
    </row>
    <row r="77" spans="2:8" x14ac:dyDescent="0.3">
      <c r="B77" t="s">
        <v>160</v>
      </c>
      <c r="C77" t="s">
        <v>15</v>
      </c>
      <c r="D77">
        <v>23</v>
      </c>
      <c r="E77" t="s">
        <v>16</v>
      </c>
      <c r="F77" s="8">
        <v>44378</v>
      </c>
      <c r="G77" t="s">
        <v>9</v>
      </c>
      <c r="H77" s="6">
        <v>106460</v>
      </c>
    </row>
    <row r="78" spans="2:8" x14ac:dyDescent="0.3">
      <c r="B78" t="s">
        <v>147</v>
      </c>
      <c r="C78" t="s">
        <v>8</v>
      </c>
      <c r="D78">
        <v>37</v>
      </c>
      <c r="E78" t="s">
        <v>16</v>
      </c>
      <c r="F78" s="8">
        <v>44389</v>
      </c>
      <c r="G78" t="s">
        <v>56</v>
      </c>
      <c r="H78" s="6">
        <v>118100</v>
      </c>
    </row>
    <row r="79" spans="2:8" x14ac:dyDescent="0.3">
      <c r="B79" t="s">
        <v>163</v>
      </c>
      <c r="C79" t="s">
        <v>8</v>
      </c>
      <c r="D79">
        <v>36</v>
      </c>
      <c r="E79" t="s">
        <v>16</v>
      </c>
      <c r="F79" s="8">
        <v>44468</v>
      </c>
      <c r="G79" t="s">
        <v>9</v>
      </c>
      <c r="H79" s="6">
        <v>78390</v>
      </c>
    </row>
    <row r="80" spans="2:8" x14ac:dyDescent="0.3">
      <c r="B80" t="s">
        <v>146</v>
      </c>
      <c r="C80" t="s">
        <v>8</v>
      </c>
      <c r="D80">
        <v>30</v>
      </c>
      <c r="E80" t="s">
        <v>16</v>
      </c>
      <c r="F80" s="8">
        <v>44789</v>
      </c>
      <c r="G80" t="s">
        <v>9</v>
      </c>
      <c r="H80" s="6">
        <v>114180</v>
      </c>
    </row>
    <row r="81" spans="2:8" x14ac:dyDescent="0.3">
      <c r="B81" t="s">
        <v>188</v>
      </c>
      <c r="C81" t="s">
        <v>8</v>
      </c>
      <c r="D81">
        <v>28</v>
      </c>
      <c r="E81" t="s">
        <v>16</v>
      </c>
      <c r="F81" s="8">
        <v>44590</v>
      </c>
      <c r="G81" t="s">
        <v>9</v>
      </c>
      <c r="H81" s="6">
        <v>104120</v>
      </c>
    </row>
    <row r="82" spans="2:8" x14ac:dyDescent="0.3">
      <c r="B82" t="s">
        <v>137</v>
      </c>
      <c r="C82" t="s">
        <v>15</v>
      </c>
      <c r="D82">
        <v>30</v>
      </c>
      <c r="E82" t="s">
        <v>16</v>
      </c>
      <c r="F82" s="8">
        <v>44640</v>
      </c>
      <c r="G82" t="s">
        <v>9</v>
      </c>
      <c r="H82" s="6">
        <v>67950</v>
      </c>
    </row>
    <row r="83" spans="2:8" x14ac:dyDescent="0.3">
      <c r="B83" t="s">
        <v>136</v>
      </c>
      <c r="C83" t="s">
        <v>8</v>
      </c>
      <c r="D83">
        <v>29</v>
      </c>
      <c r="E83" t="s">
        <v>16</v>
      </c>
      <c r="F83" s="8">
        <v>43962</v>
      </c>
      <c r="G83" t="s">
        <v>12</v>
      </c>
      <c r="H83" s="6">
        <v>34980</v>
      </c>
    </row>
    <row r="84" spans="2:8" x14ac:dyDescent="0.3">
      <c r="B84" t="s">
        <v>152</v>
      </c>
      <c r="C84" t="s">
        <v>8</v>
      </c>
      <c r="D84">
        <v>24</v>
      </c>
      <c r="E84" t="s">
        <v>16</v>
      </c>
      <c r="F84" s="8">
        <v>44087</v>
      </c>
      <c r="G84" t="s">
        <v>12</v>
      </c>
      <c r="H84" s="6">
        <v>62780</v>
      </c>
    </row>
    <row r="85" spans="2:8" x14ac:dyDescent="0.3">
      <c r="B85" t="s">
        <v>116</v>
      </c>
      <c r="C85" t="s">
        <v>15</v>
      </c>
      <c r="D85">
        <v>20</v>
      </c>
      <c r="E85" t="s">
        <v>16</v>
      </c>
      <c r="F85" s="8">
        <v>44397</v>
      </c>
      <c r="G85" t="s">
        <v>12</v>
      </c>
      <c r="H85" s="6">
        <v>107700</v>
      </c>
    </row>
    <row r="86" spans="2:8" x14ac:dyDescent="0.3">
      <c r="B86" t="s">
        <v>167</v>
      </c>
      <c r="C86" t="s">
        <v>15</v>
      </c>
      <c r="D86">
        <v>25</v>
      </c>
      <c r="E86" t="s">
        <v>16</v>
      </c>
      <c r="F86" s="8">
        <v>44322</v>
      </c>
      <c r="G86" t="s">
        <v>19</v>
      </c>
      <c r="H86" s="6">
        <v>65700</v>
      </c>
    </row>
    <row r="87" spans="2:8" x14ac:dyDescent="0.3">
      <c r="B87" t="s">
        <v>134</v>
      </c>
      <c r="C87" t="s">
        <v>8</v>
      </c>
      <c r="D87">
        <v>33</v>
      </c>
      <c r="E87" t="s">
        <v>42</v>
      </c>
      <c r="F87" s="8">
        <v>44313</v>
      </c>
      <c r="G87" t="s">
        <v>12</v>
      </c>
      <c r="H87" s="6">
        <v>75480</v>
      </c>
    </row>
    <row r="88" spans="2:8" x14ac:dyDescent="0.3">
      <c r="B88" t="s">
        <v>173</v>
      </c>
      <c r="C88" t="s">
        <v>15</v>
      </c>
      <c r="D88">
        <v>33</v>
      </c>
      <c r="E88" t="s">
        <v>16</v>
      </c>
      <c r="F88" s="8">
        <v>44448</v>
      </c>
      <c r="G88" t="s">
        <v>12</v>
      </c>
      <c r="H88" s="6">
        <v>53870</v>
      </c>
    </row>
    <row r="89" spans="2:8" x14ac:dyDescent="0.3">
      <c r="B89" t="s">
        <v>140</v>
      </c>
      <c r="C89" t="s">
        <v>8</v>
      </c>
      <c r="D89">
        <v>36</v>
      </c>
      <c r="E89" t="s">
        <v>16</v>
      </c>
      <c r="F89" s="8">
        <v>44433</v>
      </c>
      <c r="G89" t="s">
        <v>19</v>
      </c>
      <c r="H89" s="6">
        <v>78540</v>
      </c>
    </row>
    <row r="90" spans="2:8" x14ac:dyDescent="0.3">
      <c r="B90" t="s">
        <v>192</v>
      </c>
      <c r="C90" t="s">
        <v>15</v>
      </c>
      <c r="D90">
        <v>19</v>
      </c>
      <c r="E90" t="s">
        <v>16</v>
      </c>
      <c r="F90" s="8">
        <v>44218</v>
      </c>
      <c r="G90" t="s">
        <v>9</v>
      </c>
      <c r="H90" s="6">
        <v>58960</v>
      </c>
    </row>
    <row r="91" spans="2:8" x14ac:dyDescent="0.3">
      <c r="B91" t="s">
        <v>161</v>
      </c>
      <c r="C91" t="s">
        <v>15</v>
      </c>
      <c r="D91">
        <v>46</v>
      </c>
      <c r="E91" t="s">
        <v>16</v>
      </c>
      <c r="F91" s="8">
        <v>44697</v>
      </c>
      <c r="G91" t="s">
        <v>9</v>
      </c>
      <c r="H91" s="6">
        <v>70610</v>
      </c>
    </row>
    <row r="92" spans="2:8" x14ac:dyDescent="0.3">
      <c r="B92" t="s">
        <v>170</v>
      </c>
      <c r="C92" t="s">
        <v>15</v>
      </c>
      <c r="D92">
        <v>33</v>
      </c>
      <c r="E92" t="s">
        <v>16</v>
      </c>
      <c r="F92" s="8">
        <v>44181</v>
      </c>
      <c r="G92" t="s">
        <v>21</v>
      </c>
      <c r="H92" s="6">
        <v>59430</v>
      </c>
    </row>
    <row r="93" spans="2:8" x14ac:dyDescent="0.3">
      <c r="B93" t="s">
        <v>143</v>
      </c>
      <c r="C93" t="s">
        <v>15</v>
      </c>
      <c r="D93">
        <v>33</v>
      </c>
      <c r="E93" t="s">
        <v>13</v>
      </c>
      <c r="F93" s="8">
        <v>44640</v>
      </c>
      <c r="G93" t="s">
        <v>9</v>
      </c>
      <c r="H93" s="6">
        <v>48530</v>
      </c>
    </row>
    <row r="94" spans="2:8" x14ac:dyDescent="0.3">
      <c r="B94" t="s">
        <v>162</v>
      </c>
      <c r="C94" t="s">
        <v>8</v>
      </c>
      <c r="D94">
        <v>33</v>
      </c>
      <c r="E94" t="s">
        <v>16</v>
      </c>
      <c r="F94" s="8">
        <v>44129</v>
      </c>
      <c r="G94" t="s">
        <v>12</v>
      </c>
      <c r="H94" s="6">
        <v>96140</v>
      </c>
    </row>
    <row r="95" spans="2:8" x14ac:dyDescent="0.3">
      <c r="F95"/>
      <c r="H95"/>
    </row>
    <row r="96" spans="2:8" x14ac:dyDescent="0.3">
      <c r="F96"/>
      <c r="H96"/>
    </row>
    <row r="97" spans="6:8" x14ac:dyDescent="0.3">
      <c r="F97"/>
      <c r="H97"/>
    </row>
    <row r="98" spans="6:8" x14ac:dyDescent="0.3">
      <c r="F98"/>
      <c r="H98"/>
    </row>
    <row r="99" spans="6:8" x14ac:dyDescent="0.3">
      <c r="F99"/>
      <c r="H99"/>
    </row>
    <row r="100" spans="6:8" x14ac:dyDescent="0.3">
      <c r="F100"/>
      <c r="H100"/>
    </row>
    <row r="101" spans="6:8" x14ac:dyDescent="0.3">
      <c r="F101"/>
      <c r="H101"/>
    </row>
    <row r="102" spans="6:8" x14ac:dyDescent="0.3">
      <c r="F102"/>
      <c r="H102"/>
    </row>
    <row r="103" spans="6:8" x14ac:dyDescent="0.3">
      <c r="F103"/>
      <c r="H103"/>
    </row>
    <row r="104" spans="6:8" x14ac:dyDescent="0.3">
      <c r="F104"/>
      <c r="H104"/>
    </row>
    <row r="105" spans="6:8" x14ac:dyDescent="0.3">
      <c r="F105"/>
      <c r="H105"/>
    </row>
    <row r="106" spans="6:8" x14ac:dyDescent="0.3">
      <c r="F106"/>
      <c r="H106"/>
    </row>
    <row r="107" spans="6:8" x14ac:dyDescent="0.3">
      <c r="F107"/>
      <c r="H107"/>
    </row>
    <row r="108" spans="6:8" x14ac:dyDescent="0.3">
      <c r="F108"/>
      <c r="H108"/>
    </row>
    <row r="109" spans="6:8" x14ac:dyDescent="0.3">
      <c r="F109"/>
      <c r="H109"/>
    </row>
    <row r="110" spans="6:8" x14ac:dyDescent="0.3">
      <c r="F110"/>
      <c r="H110"/>
    </row>
    <row r="111" spans="6:8" x14ac:dyDescent="0.3">
      <c r="F111"/>
      <c r="H111"/>
    </row>
    <row r="112" spans="6:8" x14ac:dyDescent="0.3">
      <c r="F112"/>
      <c r="H112"/>
    </row>
    <row r="113" spans="6:8" x14ac:dyDescent="0.3">
      <c r="F113"/>
      <c r="H113"/>
    </row>
    <row r="114" spans="6:8" x14ac:dyDescent="0.3">
      <c r="F114"/>
      <c r="H114"/>
    </row>
  </sheetData>
  <autoFilter ref="B2:H94" xr:uid="{30372EC4-DDE2-4CB7-AC70-5AB590F938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Data</vt:lpstr>
      <vt:lpstr>Company Dashboard</vt:lpstr>
      <vt:lpstr>Department Dashboard</vt:lpstr>
      <vt:lpstr>analysis_questions</vt:lpstr>
      <vt:lpstr>Departments_analysis</vt:lpstr>
      <vt:lpstr>Company Analysis</vt:lpstr>
      <vt:lpstr>Departments</vt:lpstr>
      <vt:lpstr>India Staff</vt:lpstr>
      <vt:lpstr>avg_age</vt:lpstr>
      <vt:lpstr>avg_sal</vt:lpstr>
      <vt:lpstr>department_value</vt:lpstr>
      <vt:lpstr>tot_emp</vt:lpstr>
      <vt:lpstr>total_employees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Wesley Omoke</cp:lastModifiedBy>
  <dcterms:created xsi:type="dcterms:W3CDTF">2021-03-14T20:21:32Z</dcterms:created>
  <dcterms:modified xsi:type="dcterms:W3CDTF">2025-07-14T10:33:14Z</dcterms:modified>
</cp:coreProperties>
</file>